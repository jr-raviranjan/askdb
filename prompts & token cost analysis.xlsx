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ravi/Desktop/code/llm-footprint/data/"/>
    </mc:Choice>
  </mc:AlternateContent>
  <xr:revisionPtr revIDLastSave="0" documentId="13_ncr:1_{BD0707F9-49D4-304F-87A7-15554C00940E}" xr6:coauthVersionLast="47" xr6:coauthVersionMax="47" xr10:uidLastSave="{00000000-0000-0000-0000-000000000000}"/>
  <bookViews>
    <workbookView xWindow="0" yWindow="860" windowWidth="34200" windowHeight="20320" xr2:uid="{3C3651F3-7770-5A47-BBC4-B5AFFB4E42AD}"/>
  </bookViews>
  <sheets>
    <sheet name="cal-2" sheetId="6" r:id="rId1"/>
    <sheet name="actual data" sheetId="2" r:id="rId2"/>
    <sheet name="calculations" sheetId="4" r:id="rId3"/>
  </sheets>
  <definedNames>
    <definedName name="_xlchart.v1.0" hidden="1">'cal-2'!$D$61:$D$65</definedName>
    <definedName name="_xlchart.v1.1" hidden="1">'cal-2'!$E$60</definedName>
    <definedName name="_xlchart.v1.2" hidden="1">'cal-2'!$E$61:$E$65</definedName>
    <definedName name="_xlchart.v1.3" hidden="1">'cal-2'!$D$61:$D$65</definedName>
    <definedName name="_xlchart.v1.4" hidden="1">'cal-2'!$E$60</definedName>
    <definedName name="_xlchart.v1.5" hidden="1">'cal-2'!$E$61:$E$65</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0" i="6" l="1"/>
  <c r="R20" i="6" s="1"/>
  <c r="S20" i="6"/>
  <c r="R16" i="6"/>
  <c r="R17" i="6"/>
  <c r="R18" i="6"/>
  <c r="R19" i="6"/>
  <c r="T19" i="6"/>
  <c r="T16" i="6"/>
  <c r="T17" i="6"/>
  <c r="T18" i="6"/>
  <c r="S16" i="6"/>
  <c r="S15" i="6"/>
  <c r="T15" i="6"/>
  <c r="R15" i="6" s="1"/>
  <c r="E7" i="6"/>
  <c r="E6" i="6"/>
  <c r="C4" i="6"/>
  <c r="E4" i="6"/>
  <c r="O17" i="6"/>
  <c r="O18" i="6"/>
  <c r="O19" i="6"/>
  <c r="O20" i="6"/>
  <c r="O21" i="6"/>
  <c r="O22" i="6"/>
  <c r="O23" i="6"/>
  <c r="O24" i="6"/>
  <c r="O25" i="6"/>
  <c r="O26" i="6"/>
  <c r="O27" i="6"/>
  <c r="O28" i="6"/>
  <c r="O29" i="6"/>
  <c r="O30" i="6"/>
  <c r="O31" i="6"/>
  <c r="O32" i="6"/>
  <c r="O33" i="6"/>
  <c r="O34" i="6"/>
  <c r="O16" i="6"/>
  <c r="O15" i="6"/>
  <c r="M33" i="6"/>
  <c r="P33" i="6" s="1"/>
  <c r="M28" i="6"/>
  <c r="M23" i="6"/>
  <c r="K32" i="6"/>
  <c r="P32" i="6" s="1"/>
  <c r="K27" i="6"/>
  <c r="P27" i="6" s="1"/>
  <c r="K22" i="6"/>
  <c r="P22" i="6" s="1"/>
  <c r="C34" i="6"/>
  <c r="C33" i="6"/>
  <c r="C32" i="6"/>
  <c r="C28" i="6"/>
  <c r="P28" i="6" s="1"/>
  <c r="C27" i="6"/>
  <c r="C23" i="6"/>
  <c r="C22" i="6"/>
  <c r="M18" i="6"/>
  <c r="K17" i="6"/>
  <c r="C18" i="6"/>
  <c r="C17" i="6"/>
  <c r="I31" i="6"/>
  <c r="I26" i="6"/>
  <c r="I21" i="6"/>
  <c r="I16" i="6"/>
  <c r="G30" i="6"/>
  <c r="G25" i="6"/>
  <c r="G20" i="6"/>
  <c r="G15" i="6"/>
  <c r="P15" i="6" s="1"/>
  <c r="E34" i="6"/>
  <c r="E29" i="6"/>
  <c r="E24" i="6"/>
  <c r="E19" i="6"/>
  <c r="C31" i="6"/>
  <c r="P31" i="6" s="1"/>
  <c r="C30" i="6"/>
  <c r="C29" i="6"/>
  <c r="P29" i="6" s="1"/>
  <c r="C26" i="6"/>
  <c r="C25" i="6"/>
  <c r="P25" i="6" s="1"/>
  <c r="C24" i="6"/>
  <c r="C21" i="6"/>
  <c r="P21" i="6" s="1"/>
  <c r="C20" i="6"/>
  <c r="P20" i="6" s="1"/>
  <c r="C19" i="6"/>
  <c r="P19" i="6" s="1"/>
  <c r="C16" i="6"/>
  <c r="C15" i="6"/>
  <c r="F7" i="6"/>
  <c r="F6" i="6"/>
  <c r="F5" i="6"/>
  <c r="F4" i="6"/>
  <c r="E5" i="6"/>
  <c r="D7" i="6"/>
  <c r="D6" i="6"/>
  <c r="D5" i="6"/>
  <c r="D4" i="6"/>
  <c r="C7" i="6"/>
  <c r="C6" i="6"/>
  <c r="C5" i="6"/>
  <c r="O24" i="4"/>
  <c r="O23" i="4"/>
  <c r="E21" i="4"/>
  <c r="E20" i="4"/>
  <c r="E19" i="4"/>
  <c r="E15" i="4"/>
  <c r="E14" i="4"/>
  <c r="E13" i="4"/>
  <c r="I13" i="4"/>
  <c r="G7" i="4"/>
  <c r="E7" i="4"/>
  <c r="I22" i="4"/>
  <c r="O22" i="4"/>
  <c r="M22" i="4"/>
  <c r="M23" i="4"/>
  <c r="M24" i="4"/>
  <c r="N22" i="4"/>
  <c r="N23" i="4"/>
  <c r="N24" i="4"/>
  <c r="K23" i="4"/>
  <c r="G24" i="4"/>
  <c r="E24" i="4"/>
  <c r="E23" i="4"/>
  <c r="E22" i="4"/>
  <c r="E18" i="4"/>
  <c r="E17" i="4"/>
  <c r="E16" i="4"/>
  <c r="N16" i="4"/>
  <c r="O16" i="4" s="1"/>
  <c r="N19" i="4"/>
  <c r="O19" i="4" s="1"/>
  <c r="N20" i="4"/>
  <c r="O20" i="4" s="1"/>
  <c r="N21" i="4"/>
  <c r="O21" i="4" s="1"/>
  <c r="M19" i="4"/>
  <c r="M20" i="4"/>
  <c r="M21" i="4"/>
  <c r="N17" i="4"/>
  <c r="O17" i="4" s="1"/>
  <c r="N18" i="4"/>
  <c r="O18" i="4" s="1"/>
  <c r="M16" i="4"/>
  <c r="M17" i="4"/>
  <c r="M18" i="4"/>
  <c r="M14" i="4"/>
  <c r="M15" i="4"/>
  <c r="M13" i="4"/>
  <c r="N14" i="4"/>
  <c r="O14" i="4" s="1"/>
  <c r="N15" i="4"/>
  <c r="O15" i="4" s="1"/>
  <c r="N13" i="4"/>
  <c r="O13" i="4" s="1"/>
  <c r="P24" i="6" l="1"/>
  <c r="P23" i="6"/>
  <c r="P26" i="6"/>
  <c r="P17" i="6"/>
  <c r="P18" i="6"/>
  <c r="P16" i="6"/>
  <c r="P30" i="6"/>
  <c r="P34" i="6"/>
  <c r="G6" i="6"/>
  <c r="Q25" i="6" s="1"/>
  <c r="G7" i="6"/>
  <c r="Q30" i="6" s="1"/>
  <c r="G5" i="6"/>
  <c r="Q20" i="6" s="1"/>
  <c r="G4" i="6"/>
  <c r="Q15" i="6" s="1"/>
  <c r="Q16" i="6" l="1"/>
  <c r="Q26" i="6"/>
  <c r="Q23" i="6"/>
  <c r="Q31" i="6"/>
  <c r="Q21" i="6"/>
  <c r="Q33" i="6"/>
  <c r="Q22" i="6"/>
  <c r="Q17" i="6"/>
  <c r="Q18" i="6"/>
  <c r="Q32" i="6"/>
  <c r="Q28" i="6"/>
  <c r="Q24" i="6"/>
  <c r="Q34" i="6"/>
  <c r="Q27" i="6"/>
  <c r="Q29" i="6"/>
  <c r="Q19" i="6"/>
</calcChain>
</file>

<file path=xl/sharedStrings.xml><?xml version="1.0" encoding="utf-8"?>
<sst xmlns="http://schemas.openxmlformats.org/spreadsheetml/2006/main" count="191" uniqueCount="93">
  <si>
    <t>what to watch</t>
  </si>
  <si>
    <t>what is my IP</t>
  </si>
  <si>
    <t>where is my train</t>
  </si>
  <si>
    <t>who won the election 2024</t>
  </si>
  <si>
    <t>how many ounces in a gallon</t>
  </si>
  <si>
    <t>how to tie a tie</t>
  </si>
  <si>
    <t>Summarisation</t>
  </si>
  <si>
    <t xml:space="preserve">Easy </t>
  </si>
  <si>
    <t>Meidum</t>
  </si>
  <si>
    <t>Hard</t>
  </si>
  <si>
    <t xml:space="preserve"> Question &amp; Answers</t>
  </si>
  <si>
    <t>Sr. No.</t>
  </si>
  <si>
    <t>Search Engine</t>
  </si>
  <si>
    <t>LLM</t>
  </si>
  <si>
    <t>Can you summarize this news article in 3–4 sentences?«
JPMorgan Chase &amp; Co. is accelerating its push into India’s payments sector as the Wall Street bank aims to leverage the country’s growing interconnectedness with foreign companies.
That part of the business helps clients process and move money globally. It’s expected to grow as multinationals bolster Indian global capability centers and domestic companies push into overseas markets, said Guhaprasath Rajagopal, head of payments for India at JPMorgan.
“With our global network and full range of treasury services and trade solutions, we help Indian businesses seize global opportunities and navigate complex markets,” Rajagopal said, speaking on the sidelines of the Global Fintech Festival in Mumbai on Thursday.
Wall Street banks are set to rely more on their global capability centers following President Donald Trump’s shock move to impose steep fees on new applications to the H-1B visa program. The market for global capability centers in India is projected to double to $100 billion by 2030, driven by a deep talent pool, cost advantages, and strong digital infrastructure, according to Nasscom, a trade association.
JPMorgan, the largest US bank by assets, operates technology and operations hubs in Mumbai, Bengaluru, and Hyderabad, employing thousands of people. The bank has previously invested in strengthening its digital payments and transaction banking capabilities, part of a broader global push under Chief Executive Jamie Dimon to modernize the bank’s infrastructure.
JPMorgan is also looking to deepen partnerships with Indian fintech companies focused on cross-border flows, Rajagopal said.</t>
  </si>
  <si>
    <t>Give me a short summary I can understand quickly.
&lt;any email&gt;</t>
  </si>
  <si>
    <t>TL;DR this text for me, just the main points.
&lt;some random mail&gt;</t>
  </si>
  <si>
    <t>What’s the main takeaway from this passage?
&lt;ccb change in snow approvals from. mani&gt;</t>
  </si>
  <si>
    <t>Summarize this research paper and highlight the key results.
In recent years, numerous theoretical results have shown evidence that quantum computers have the potential to tackle a wide range of problems out of reach of classical techniques. The main examples include factoring large integers6, implicitly solving exponentially sized systems of linear equations7, optimizing intractable problems8, learning certain functions9 and simulating large quantum many-body systems10. However, accounting for considerations such as quantum error correction overheads and gate speeds, the resource requirements of known quantum algorithms for these problems put them far outside the reach of near-term quantum devices, including many suggested fault-tolerant architectures. Consequently, it is unclear whether the devices available in the near term can benefit a practical application11.
Starting with one of the first ‘quantum supremacy’ demonstrations5, several groups have used random circuit sampling (RCS) as an example of a task that can be executed faster and with a lower energy cost on present-day quantum computers compared with what is achievable classically4,12,13,14. Yet, despite rapid experimental progress, a beyond-classical demonstration of a practically useful task performed by gate-based quantum computers has so far remained unknown.
Random number generation is a natural task for the beyond-classical demonstration because randomness is intrinsic to quantum mechanics, and it is important in many applications, ranging from information security to ensuring the fairness of processes such as jury selection15,16,17. The main challenge for any client receiving randomness from a third-party provider, such as a hardware security module, is to verify that the bits received are truly random and freshly generated. Although certified randomness is not necessary for every use of random numbers, the freshness requirement is especially important in applications such as lotteries and e-games, in which several parties (which may or may not trust each other) need to ensure that a publicly distributed random number was generated on demand. Moreover, certified randomness can be used to verify the position of a dishonest party18,19,20.
Protocols exist for certifying random numbers based on the violation of Bell inequalities15,21,22,23,24. However, these protocols typically require the underlying Bell test to be loophole-free, which can be hard for the client to enforce when the quantum devices are controlled by a third-party provider. This approach thus necessitates that the client trust a third-party quantum device provider to perform the Bell test faithfully.
Alternatively, ref. 3 proposed a certified randomness protocol that combines RCS with ‘verification’ on classical supercomputers3,25. This type of protocol allows a classical client to verify randomness using only remote access to an untrusted quantum server. A classical client pseudorandomly generates n-qubit challenge circuits and sends them to a quantum server, which is asked to return length-n bitstrings sampled from the output distribution of these circuits within a short amount of time (Fig. 1a,c). The circuits are chosen such that no realistic adversarial server can classically simulate them within the short response time. A small subset of circuits is then used to compute the cross-entropy benchmarking (XEB) score26 (Fig. 1b), which reflects how well the samples returned by the server match the ideal output distributions of the submitted circuits. Extensive complexity-theoretic evidence suggests that XEB is hard to ‘spoof’ classically27,28. Therefore, a high XEB score, combined with a short response time, allows the client to certify that the server must have used a quantum computer to generate its responses, thereby guaranteeing a certain amount of entropy with high probability. Our analysis quantifies the minimum amount of entropy that an untrusted server, possibly acting as an adversary, must provide to achieve a given XEB score in a short amount of time.</t>
  </si>
  <si>
    <t xml:space="preserve">Explain this text in simple words without losing meaning.
</t>
  </si>
  <si>
    <t xml:space="preserve">Summarize only the business or financial implications.
JPM Coin provides J.P. Morgan’s institutional clients with the option to make onchain native digital payments, which serve as a digital representation of a bank deposit on public blockchain. This will help meet the growing demand from both digitally native and traditional firms that want to engage further in the digital assets space with faster and easier money movement on public blockchains.
Clients, including B2C2, Coinbase, and Mastercard, all successfully completed near-instant issuance and redemption of JPMD on Base as part of the proof-of-concept. Kinexys by J.P. Morgan launched the USD deposit token proof-of-concept in June 2025.
Thomas Restout, Group CEO of B2C2, said, "At B2C2, we’re committed to advancing the use of bank-issued deposit tokens for institutional trading. Integrating JPM Coin into our infrastructure helps us to deliver real-time, onchain settlement with the assurance of a regulated USD deposit, a critical advancement in market infrastructure that strengthens liquidity, trust and interoperability across digital assets.”
Jesse Pollak, Creator of Base and VP of Engineering at Coinbase, said, “We believe bringing institutions onchain has the power to unlock a truly global economy. We are thrilled to see one of the world’s most prominent banks bring institutional money to a more global economy on a public blockchain. Base offers sub-second, sub-cent, 24/7 settlement, which makes payment transfers between J.P. Morgan institutional clients nearly free and instant, even across international borders.”
Lauren Abendschein, VP of Institutional Sales at Coinbase, said, “The next evolution of digital money is here. We are proud to be collaborating with Kinexys by J.P. Morgan to issue deposit tokens on Base. We built Base to be a fast, cheap, and secure public blockchain, which can help reduce cost, enhance efficiency, and improve liquidity. Coinbase in a longtime J.P. Morgan institutional client, and the ability to use JPM Coin on Base is helping to bring institutional money into the global onchain economy.”
Raj Dhamodharan, Executive Vice President, Blockchain &amp; Digital Assets at Mastercard, said, “Collaborating with Kinexys by J.P. Morgan to bring JPM Coin to the Mastercard Token Network marks a milestone in our strategy to build an open, interoperable network for digital assets and bank deposits. This integration delivers secure, streamlined access to on-chain payments for our shared customers and the broader industry, backed by Mastercard’s principled approach to trust, security and compliance.”
Beginning today, J.P. Morgan’s institutional clients can use JPM Coin to make near real-time peer-to-peer transfers between Ethereum Virtual Machine (EVM)-compatible wallets, providing the flexibility to transfer funds securely and efficiently with minimal delay. J.P. Morgan’s deposit token is also designed for integration with smart contracts on public blockchain networks, which could help facilitate complex financial workflows and automation in the future.
Naveen Mallela, Global Co-head of Kinexys by J.P. Morgan said, “Kinexys by J.P. Morgan is leading the way in digital payments through our private blockchain. With JPM Coin now available to our institutional clients, we’re moving the industry forward in transacting on public blockchains, beginning with Base, the Ethereum Layer 2 public blockchain built within Coinbase. JPM Coin delivers the security of bank-backed deposits and settlement, combined with the speed and innovation of 24/7, near real-time blockchain transactions, increasing efficiency and unlocking liquidity."
Check out media coverage in Bloomberg and learn more about Kinexys by J.P. Morgan here. Dive into how other clients, such as Siemens, also leverage Kinexys by J.P. Morgan to run their businesses better.  </t>
  </si>
  <si>
    <t>Convert this report into a structured summary with headings.
Trade policy: How might tariffs impact growth and inflation?
Trump and Biden have used tariffs (taxes paid by U.S. importers of foreign goods) to bolster national defense and increase the global competitiveness of domestic industries. Trump now advocates a 10% baseline tariff on all imported goods and a 60% (or higher) tariff on goods from China.3 But if Trump’s proposed tariffs were fully implemented, they could lower real U.S. gross domestic product (GDP) by 0.3% to 0.5% in 2025, according to our calculations.
Sweeping tariffs could also deliver a one-time shock to inflation, but this sharp immediate impact would likely fade over time. More – and faster – permitting and leasing in the oil and gas complex could also provide a disinflationary offset, possibly pushing oil prices down 10% to 15% if supply rises.
We estimate that the net impact of tariffs and lower energy prices could lead to a 1.5% to 2% jump in the Consumer Price Index (CPI) on a year-on-year basis.4 These reflationary expectations are likely one of the reasons that interest rates rose and the yield curve steepened when betting odds for a Trump presidency increased.
However, it’s worth noting that the final impact of tariffs could be more modest than our estimates suggest. The proposals could be narrowed, and will likely spark legal challenges, as they have previously. Further, the impact could lessen if the tariffs are staggered over time or if custom duties are recycled into targeted industry subsidies that help companies from passing on the costs to consumers.
Our analysis finds that if Trump’s proposals were fully implemented, the impact on major trading peers would be less inflationary than in the United States, but likely more detrimental to growth. Said differently, we expect tariffs to slow growth disproportionately for goods exporters and raise inflation disproportionately for goods importers. For example, we estimate a potential 0.7% hit to eurozone GDP, roughly twice as large as in the United States, but just a 0.2% (or less) increase in European inflation.5
Such divergence could have implications for the relative monetary policy stance in each region and thus, the euro-U.S. dollar exchange rate. In isolation, Trump’s tariff policy would likely continue to underpin U.S. dollar strength.</t>
  </si>
  <si>
    <t>Turn this long article into bullet points I can use in a meeting.
The world has seen unprecedented interest in Large Language Models (LLMs) in the last few years. The ubiquitous purpose of LLMs is to improve productivity and make the automation of various tasks possible. General purpose LLMs such as ChatGPT4o have around 1.76 trillion parameters, and their training and use require huge computational power, which results in substantial energy consumption. The increasing adoption of LLMs in every industry has raised significant concerns regarding the sustainability of their supply chain, particularly in terms of energy consumption, resource utilization, and carbon emissions. These concerns are preliminary only, and usage will increase further in the coming years as adoption increases. Thus, it becomes imperative that we understand the environmental impact of LLMs for future developments in artificial intelligence (AI) and natural language processing (NLP). The 540-billion parameter Pathways Language Model (PaLM) training using 6144 TPU v4 chips brought to light the enormous computational resources needed for such large-scale models1. This degree of resource consumption raises concerns about such operations’ environmental sustainability. Increased carbon emissions may result from the energy-intensive nature of training LLMs, especially if the energy sources are non-renewable2. This problem is made worse because many regions rely heavily on fossil fuels for energy. Hence, it is critical to investigate more environmentally friendly methods for training and deploying models.
Furthermore, the materials and resources used to create LLMs influence the environment and energy usage. Mining and processing raw materials can harm ecosystems and increase pollution, as the production of GPUs and TPUs–hardware required for training these models–involves these activities2,3. The evaluation of LLMs should encompass their performance, sustainability, privacy, digital divide, and ethical implications2. This holistic perspective is essential for developing responsible AI technologies that minimize environmental harm. The academic world is gung-ho about the capabilities of LLMs, and there is a scarcity of literature deliberating on the sustainability of the supply chain of these models. This research attempts to fill this research gap.</t>
  </si>
  <si>
    <t>Summarize the key economic events that led to the 2008 financial crisis in under 200 words.</t>
  </si>
  <si>
    <t>Explain the evolution of Kubernetes from launch to present, focusing on major technical milestones.</t>
  </si>
  <si>
    <t>Summarize the recent developments in US–China semiconductor trade restrictions and their global impact.</t>
  </si>
  <si>
    <t>Give a concise summary of how Large Language Models work, including training pipeline and inference challenges</t>
  </si>
  <si>
    <t>Summarize the major arguments for and against nuclear energy in a balanced, non-biased way.</t>
  </si>
  <si>
    <t>What is Net Present Value (NPV)?</t>
  </si>
  <si>
    <t>Explain what a credit score means.</t>
  </si>
  <si>
    <t>What is the difference between debit and credit transactions?</t>
  </si>
  <si>
    <t>How does EMI calculation work in simple terms?</t>
  </si>
  <si>
    <t>Write a small Python snippet to calculate compound interest.</t>
  </si>
  <si>
    <t>Explain how EMIs are calculated using the standard amortization formula and show a Python example for computing monthly EMI.</t>
  </si>
  <si>
    <t>How does a payment gateway verify a transaction in real time and what role does message signing or hashing play?</t>
  </si>
  <si>
    <t>Explain what ROC and AUC mean when evaluating a fraud detection model and include a simple Python example to compute them.</t>
  </si>
  <si>
    <t>How does KYC verification work in digital lending apps and what algorithms are used for identity document OCR?</t>
  </si>
  <si>
    <t>Explain how a portfolio‚Äôs expected return and variance are calculated using historical returns.</t>
  </si>
  <si>
    <t>Provide explanation and Python demo of training a Gradient Boosting classifier for credit default prediction with SMOTE and evaluation.</t>
  </si>
  <si>
    <t>Explain liquidity risk measurement for a payments provider including calculating LCR and stress forecasting dashboards.</t>
  </si>
  <si>
    <t>Explain the consensus model for processing 60 million blockchain transactions per day and how sharding or rollups improve throughput.</t>
  </si>
  <si>
    <t>Quantitatively explain portfolio optimization with Markowitz model including covariance matrix optimal weights Sharpe Ratio and efficient frontier in Python.</t>
  </si>
  <si>
    <t>Explain end to end how liquidity risk is assessed for a digital payments provider including how to calculate Liquidity Coverage Ratio stress testing cash flow projections intraday settlement exposure forecasting dashboards and how real time data pipelines help identify shortfall conditions before they impact operations.</t>
  </si>
  <si>
    <t>A blockchain network is required to support 60 million financial transactions per day with guaranteed finality within 7 seconds explain in detail the consensus protocol required discussing vote weights leader selection Byzantine fault tolerance message propagation network overhead and how scaling strategies like sharding sidechains or rollups can further increase throughput while preserving security.</t>
  </si>
  <si>
    <t>Provide a deep quantitative explanation of portfolio optimization using the Markowitz mean variance framework including computing historical returns covariance matrices solving for optimal asset weights maximizing Sharpe Ratio constraints such as weight caps generating efficient frontier plots and interpreting how changes in risk free rate or market volatility shift the curve.</t>
  </si>
  <si>
    <t>Tokens</t>
  </si>
  <si>
    <t>Cost</t>
  </si>
  <si>
    <t>Summarizations</t>
  </si>
  <si>
    <t>Difficulty</t>
  </si>
  <si>
    <t>Easy</t>
  </si>
  <si>
    <t>Medium</t>
  </si>
  <si>
    <t>Qu. No.</t>
  </si>
  <si>
    <t>Questions &amp; Answers</t>
  </si>
  <si>
    <t>Total</t>
  </si>
  <si>
    <t>Token</t>
  </si>
  <si>
    <t>SLM 1</t>
  </si>
  <si>
    <t>SLM 2</t>
  </si>
  <si>
    <t>LLM 1</t>
  </si>
  <si>
    <t>LLM 2</t>
  </si>
  <si>
    <t>LLM1</t>
  </si>
  <si>
    <t>Can you shorten this article into a quick overview?
In a paper published in Nature, researchers say that by realising so-called 'Certified Quantum Randomness' they have paved the way for previously theoretic experiments to become meaningful, real-world uses for a quantum computer.
In the financial services arena, it could prove useful for security, trading and other areas that benefit from complete randomness.
The bank's team worked with researchers from Quantinuum, Argonne National Laboratory, Oak Ridge National Laboratory, and the University of Texas at Austin on the project, the first successful demonstration of a novel quantum computing protocol to generate Certified Randomness.
The protocol consisted of two steps. First, the team generated challenge random circuits and sent them to the untrusted remote quantum computer, which was then asked to return the corresponding samples. The response time was so quick that the challenge circuits could not be simulated classically in the same amount of time. This was tested against the best currently known techniques for simulating random circuits on the world’s most powerful supercomputers.
Second, the randomness was mathematically certified to be genuine using classical supercomputers. This demonstrated randomness could not be mimicked by classical methods.
Marco Pistoia, head, global technology applied research and distinguished engineer, JPMorgan Chase, says: “This work marks a major milestone in quantum computing, demonstrating a solution to a real-world challenge using a quantum computer beyond the capabilities of classical supercomputers today.
“This development of Certified Randomness not only shows advancements in quantum hardware, but will be vital to further research, statistical sampling, numerical simulations and cryptography.”</t>
  </si>
  <si>
    <t>Google</t>
  </si>
  <si>
    <t>gpt-5-nano-2025-08-07</t>
  </si>
  <si>
    <t>gpt-4.1-nano-2025-04-14</t>
  </si>
  <si>
    <t>gpt-5-2025-08-07</t>
  </si>
  <si>
    <t>gpt-4.1-2025-04-14</t>
  </si>
  <si>
    <t>All Models uses same encoding: cl100k_base, hence token count for same input remains same</t>
  </si>
  <si>
    <t>inpt cost/M</t>
  </si>
  <si>
    <t>Output cost/M</t>
  </si>
  <si>
    <t>Reasoning model</t>
  </si>
  <si>
    <t>Note</t>
  </si>
  <si>
    <t>Difference</t>
  </si>
  <si>
    <t>Legend</t>
  </si>
  <si>
    <t>Model Name</t>
  </si>
  <si>
    <t>LLM 3</t>
  </si>
  <si>
    <t>LLM 4</t>
  </si>
  <si>
    <t>Claude-3.5-haiku*</t>
  </si>
  <si>
    <t>Claude-3.7-sonnet*</t>
  </si>
  <si>
    <t>AWS Bedrock hosted</t>
  </si>
  <si>
    <t>$ 0.80</t>
  </si>
  <si>
    <t>$ 4.00</t>
  </si>
  <si>
    <t>us-east-1 pricing</t>
  </si>
  <si>
    <t xml:space="preserve">LLM 4 </t>
  </si>
  <si>
    <t>Cheapest</t>
  </si>
  <si>
    <t>Threshold optimised prompt</t>
  </si>
  <si>
    <t>Max cost</t>
  </si>
  <si>
    <t>Max Token</t>
  </si>
  <si>
    <t>Pricing</t>
  </si>
  <si>
    <t>Directly Using LLM</t>
  </si>
  <si>
    <t>Using Sustainable AI Platform</t>
  </si>
  <si>
    <t>Threshold token for optimised prompt</t>
  </si>
  <si>
    <t>Cost impact on 20% reductionin Token</t>
  </si>
  <si>
    <t>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</si>
</sst>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171" formatCode="&quot;$&quot;#,##0.000000_);[Red]\(&quot;$&quot;#,##0.000000\)"/>
    <numFmt numFmtId="172" formatCode="&quot;$&quot;#,##0.0000000_);[Red]\(&quot;$&quot;#,##0.0000000\)"/>
    <numFmt numFmtId="173" formatCode="&quot;$&quot;#,##0.00000000_);[Red]\(&quot;$&quot;#,##0.00000000\)"/>
    <numFmt numFmtId="186" formatCode="&quot;$&quot;#,##0.00000000"/>
  </numFmts>
  <fonts count="4" x14ac:knownFonts="1">
    <font>
      <sz val="12"/>
      <color theme="1"/>
      <name val="Aptos Narrow"/>
      <family val="2"/>
      <scheme val="minor"/>
    </font>
    <font>
      <b/>
      <sz val="12"/>
      <color theme="1"/>
      <name val="Aptos Narrow"/>
      <family val="2"/>
      <scheme val="minor"/>
    </font>
    <font>
      <sz val="10"/>
      <color rgb="FF000000"/>
      <name val="Helvetica Neue"/>
      <family val="2"/>
    </font>
    <font>
      <sz val="8"/>
      <name val="Aptos Narrow"/>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59999389629810485"/>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3">
    <xf numFmtId="0" fontId="0" fillId="0" borderId="0" xfId="0"/>
    <xf numFmtId="0" fontId="0" fillId="0" borderId="0" xfId="0" applyAlignment="1">
      <alignment horizontal="center"/>
    </xf>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left" wrapText="1"/>
    </xf>
    <xf numFmtId="0" fontId="2" fillId="0" borderId="0" xfId="0" applyFont="1"/>
    <xf numFmtId="173" fontId="0" fillId="0" borderId="0" xfId="0" applyNumberFormat="1"/>
    <xf numFmtId="0" fontId="0" fillId="0" borderId="1" xfId="0" applyBorder="1" applyAlignment="1">
      <alignment horizontal="center"/>
    </xf>
    <xf numFmtId="0" fontId="0" fillId="0" borderId="2" xfId="0" applyBorder="1" applyAlignment="1">
      <alignment horizontal="center"/>
    </xf>
    <xf numFmtId="0" fontId="0" fillId="0" borderId="4" xfId="0" applyBorder="1"/>
    <xf numFmtId="0" fontId="0" fillId="0" borderId="0" xfId="0" applyBorder="1"/>
    <xf numFmtId="0" fontId="0" fillId="0" borderId="5" xfId="0" applyBorder="1"/>
    <xf numFmtId="173" fontId="0" fillId="0" borderId="0" xfId="0" applyNumberFormat="1" applyBorder="1"/>
    <xf numFmtId="10" fontId="0" fillId="0" borderId="5" xfId="0" applyNumberFormat="1" applyBorder="1"/>
    <xf numFmtId="0" fontId="0" fillId="0" borderId="3" xfId="0" applyBorder="1" applyAlignment="1">
      <alignment horizontal="center"/>
    </xf>
    <xf numFmtId="0" fontId="0" fillId="0" borderId="10" xfId="0" applyBorder="1"/>
    <xf numFmtId="173" fontId="0" fillId="0" borderId="11" xfId="0" applyNumberFormat="1" applyBorder="1"/>
    <xf numFmtId="10" fontId="0" fillId="0" borderId="12" xfId="0" applyNumberFormat="1" applyBorder="1"/>
    <xf numFmtId="0" fontId="0" fillId="0" borderId="13" xfId="0" applyBorder="1"/>
    <xf numFmtId="10" fontId="0" fillId="0" borderId="14" xfId="0" applyNumberFormat="1" applyBorder="1"/>
    <xf numFmtId="0" fontId="0" fillId="0" borderId="15" xfId="0" applyBorder="1"/>
    <xf numFmtId="173" fontId="0" fillId="0" borderId="16" xfId="0" applyNumberFormat="1" applyBorder="1"/>
    <xf numFmtId="0" fontId="0" fillId="0" borderId="16" xfId="0" applyBorder="1"/>
    <xf numFmtId="10" fontId="0" fillId="0" borderId="17" xfId="0" applyNumberFormat="1" applyBorder="1"/>
    <xf numFmtId="0" fontId="0" fillId="0" borderId="2" xfId="0" applyBorder="1" applyAlignment="1">
      <alignment horizontal="center" vertical="center"/>
    </xf>
    <xf numFmtId="0" fontId="0" fillId="0" borderId="3" xfId="0" applyBorder="1" applyAlignment="1">
      <alignment horizontal="center" vertical="center"/>
    </xf>
    <xf numFmtId="0" fontId="0" fillId="0" borderId="0" xfId="0" applyBorder="1" applyAlignment="1">
      <alignment horizontal="center" vertical="center"/>
    </xf>
    <xf numFmtId="0" fontId="0" fillId="0" borderId="5" xfId="0" applyBorder="1" applyAlignment="1">
      <alignment horizontal="center" vertical="center"/>
    </xf>
    <xf numFmtId="0" fontId="0" fillId="2" borderId="15" xfId="0" applyFill="1" applyBorder="1"/>
    <xf numFmtId="173" fontId="0" fillId="2" borderId="16" xfId="0" applyNumberFormat="1" applyFill="1" applyBorder="1"/>
    <xf numFmtId="0" fontId="0" fillId="2" borderId="16" xfId="0" applyFill="1" applyBorder="1"/>
    <xf numFmtId="10" fontId="0" fillId="2" borderId="17" xfId="0" applyNumberFormat="1" applyFill="1" applyBorder="1"/>
    <xf numFmtId="0" fontId="0" fillId="3" borderId="10" xfId="0" applyFill="1" applyBorder="1"/>
    <xf numFmtId="0" fontId="0" fillId="3" borderId="11" xfId="0" applyFill="1" applyBorder="1"/>
    <xf numFmtId="173" fontId="0" fillId="3" borderId="11" xfId="0" applyNumberFormat="1" applyFill="1" applyBorder="1"/>
    <xf numFmtId="10" fontId="0" fillId="3" borderId="12" xfId="0" applyNumberFormat="1" applyFill="1" applyBorder="1"/>
    <xf numFmtId="0" fontId="0" fillId="0" borderId="10"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73" fontId="0" fillId="0" borderId="14" xfId="0" applyNumberFormat="1" applyBorder="1"/>
    <xf numFmtId="173" fontId="0" fillId="2" borderId="17" xfId="0" applyNumberFormat="1" applyFill="1" applyBorder="1"/>
    <xf numFmtId="0" fontId="0" fillId="3" borderId="12" xfId="0" applyFill="1" applyBorder="1"/>
    <xf numFmtId="0" fontId="0" fillId="0" borderId="14" xfId="0" applyBorder="1"/>
    <xf numFmtId="173" fontId="0" fillId="3" borderId="14" xfId="0" applyNumberFormat="1" applyFill="1" applyBorder="1"/>
    <xf numFmtId="172" fontId="0" fillId="0" borderId="14" xfId="0" applyNumberFormat="1" applyBorder="1"/>
    <xf numFmtId="173" fontId="0" fillId="3" borderId="12" xfId="0" applyNumberFormat="1" applyFill="1" applyBorder="1"/>
    <xf numFmtId="0" fontId="0" fillId="0" borderId="18" xfId="0" applyBorder="1" applyAlignment="1">
      <alignment horizontal="center" vertical="center"/>
    </xf>
    <xf numFmtId="0" fontId="0" fillId="0" borderId="19" xfId="0" applyBorder="1" applyAlignment="1">
      <alignment horizontal="center" vertical="center"/>
    </xf>
    <xf numFmtId="0" fontId="0" fillId="0" borderId="18" xfId="0" applyBorder="1"/>
    <xf numFmtId="0" fontId="0" fillId="0" borderId="19" xfId="0" applyBorder="1"/>
    <xf numFmtId="0" fontId="0" fillId="2" borderId="20" xfId="0" applyFill="1" applyBorder="1"/>
    <xf numFmtId="0" fontId="0" fillId="3" borderId="18" xfId="0" applyFill="1" applyBorder="1"/>
    <xf numFmtId="8" fontId="0" fillId="0" borderId="0" xfId="0" applyNumberFormat="1" applyBorder="1"/>
    <xf numFmtId="0" fontId="0" fillId="0" borderId="21" xfId="0" applyBorder="1"/>
    <xf numFmtId="0" fontId="0" fillId="0" borderId="22" xfId="0" applyBorder="1"/>
    <xf numFmtId="0" fontId="0" fillId="0" borderId="23" xfId="0" applyBorder="1"/>
    <xf numFmtId="186" fontId="0" fillId="0" borderId="0" xfId="0" applyNumberFormat="1"/>
    <xf numFmtId="0" fontId="0" fillId="2" borderId="4" xfId="0" applyFill="1" applyBorder="1"/>
    <xf numFmtId="173" fontId="0" fillId="2" borderId="0" xfId="0" applyNumberFormat="1" applyFill="1" applyBorder="1"/>
    <xf numFmtId="0" fontId="0" fillId="2" borderId="0" xfId="0" applyFill="1" applyBorder="1"/>
    <xf numFmtId="173" fontId="0" fillId="2" borderId="5" xfId="0" applyNumberFormat="1" applyFill="1" applyBorder="1"/>
    <xf numFmtId="0" fontId="0" fillId="4" borderId="4" xfId="0" applyFill="1" applyBorder="1"/>
    <xf numFmtId="173" fontId="0" fillId="4" borderId="0" xfId="0" applyNumberFormat="1" applyFill="1" applyBorder="1"/>
    <xf numFmtId="0" fontId="0" fillId="4" borderId="0" xfId="0" applyFill="1" applyBorder="1"/>
    <xf numFmtId="173" fontId="0" fillId="4" borderId="5" xfId="0" applyNumberFormat="1" applyFill="1" applyBorder="1"/>
    <xf numFmtId="0" fontId="0" fillId="5" borderId="6" xfId="0" applyFill="1" applyBorder="1"/>
    <xf numFmtId="173" fontId="0" fillId="5" borderId="7" xfId="0" applyNumberFormat="1" applyFill="1" applyBorder="1"/>
    <xf numFmtId="0" fontId="0" fillId="5" borderId="7" xfId="0" applyFill="1" applyBorder="1"/>
    <xf numFmtId="173" fontId="0" fillId="5" borderId="8" xfId="0" applyNumberFormat="1" applyFill="1" applyBorder="1"/>
    <xf numFmtId="0" fontId="0" fillId="6" borderId="13" xfId="0" applyFill="1" applyBorder="1"/>
    <xf numFmtId="173" fontId="0" fillId="6" borderId="14" xfId="0" applyNumberFormat="1" applyFill="1" applyBorder="1"/>
    <xf numFmtId="0" fontId="0" fillId="6" borderId="14" xfId="0" applyFill="1" applyBorder="1"/>
    <xf numFmtId="0" fontId="0" fillId="6" borderId="19" xfId="0" applyFill="1" applyBorder="1"/>
    <xf numFmtId="0" fontId="0" fillId="6" borderId="0" xfId="0" applyFill="1" applyBorder="1"/>
    <xf numFmtId="173" fontId="0" fillId="6" borderId="0" xfId="0" applyNumberFormat="1" applyFill="1" applyBorder="1"/>
    <xf numFmtId="10" fontId="0" fillId="6" borderId="5" xfId="0" applyNumberFormat="1" applyFill="1" applyBorder="1"/>
    <xf numFmtId="0" fontId="0" fillId="4" borderId="15" xfId="0" applyFill="1" applyBorder="1"/>
    <xf numFmtId="0" fontId="0" fillId="4" borderId="17" xfId="0" applyFill="1" applyBorder="1"/>
    <xf numFmtId="173" fontId="0" fillId="4" borderId="17" xfId="0" applyNumberFormat="1" applyFill="1" applyBorder="1"/>
    <xf numFmtId="0" fontId="0" fillId="4" borderId="20" xfId="0" applyFill="1" applyBorder="1"/>
    <xf numFmtId="0" fontId="0" fillId="4" borderId="16" xfId="0" applyFill="1" applyBorder="1"/>
    <xf numFmtId="173" fontId="0" fillId="4" borderId="16" xfId="0" applyNumberFormat="1" applyFill="1" applyBorder="1"/>
    <xf numFmtId="10" fontId="0" fillId="4" borderId="17" xfId="0" applyNumberFormat="1" applyFill="1" applyBorder="1"/>
    <xf numFmtId="0" fontId="0" fillId="7" borderId="10" xfId="0" applyFill="1" applyBorder="1"/>
    <xf numFmtId="173" fontId="0" fillId="7" borderId="12" xfId="0" applyNumberFormat="1" applyFill="1" applyBorder="1"/>
    <xf numFmtId="0" fontId="0" fillId="7" borderId="18" xfId="0" applyFill="1" applyBorder="1"/>
    <xf numFmtId="0" fontId="0" fillId="7" borderId="11" xfId="0" applyFill="1" applyBorder="1"/>
    <xf numFmtId="173" fontId="0" fillId="7" borderId="11" xfId="0" applyNumberFormat="1" applyFill="1" applyBorder="1"/>
    <xf numFmtId="10" fontId="0" fillId="7" borderId="12" xfId="0" applyNumberFormat="1" applyFill="1" applyBorder="1"/>
    <xf numFmtId="171" fontId="0" fillId="3" borderId="12" xfId="0" applyNumberFormat="1" applyFill="1" applyBorder="1"/>
    <xf numFmtId="0" fontId="0" fillId="5" borderId="13" xfId="0" applyFill="1" applyBorder="1"/>
    <xf numFmtId="173" fontId="0" fillId="5" borderId="14" xfId="0" applyNumberFormat="1" applyFill="1" applyBorder="1"/>
    <xf numFmtId="0" fontId="0" fillId="5" borderId="14" xfId="0" applyFill="1" applyBorder="1"/>
    <xf numFmtId="8" fontId="1" fillId="5" borderId="14" xfId="0" applyNumberFormat="1" applyFont="1" applyFill="1" applyBorder="1"/>
    <xf numFmtId="0" fontId="0" fillId="5" borderId="19" xfId="0" applyFill="1" applyBorder="1"/>
    <xf numFmtId="0" fontId="0" fillId="5" borderId="0" xfId="0" applyFill="1" applyBorder="1"/>
    <xf numFmtId="173" fontId="0" fillId="5" borderId="0" xfId="0" applyNumberFormat="1" applyFill="1" applyBorder="1"/>
    <xf numFmtId="10" fontId="0" fillId="5" borderId="5" xfId="0" applyNumberFormat="1" applyFill="1" applyBorder="1"/>
    <xf numFmtId="0" fontId="0" fillId="2" borderId="0" xfId="0" applyFill="1"/>
    <xf numFmtId="172" fontId="0" fillId="2" borderId="0" xfId="0" applyNumberFormat="1" applyFill="1"/>
    <xf numFmtId="0" fontId="0" fillId="0" borderId="16" xfId="0" applyBorder="1" applyAlignment="1">
      <alignment wrapText="1"/>
    </xf>
    <xf numFmtId="0" fontId="0" fillId="0" borderId="15" xfId="0" applyBorder="1" applyAlignment="1"/>
    <xf numFmtId="0" fontId="0" fillId="0" borderId="0" xfId="0" applyBorder="1" applyAlignment="1">
      <alignment horizontal="center" wrapText="1"/>
    </xf>
    <xf numFmtId="0" fontId="0" fillId="0" borderId="13" xfId="0" applyBorder="1" applyAlignment="1"/>
    <xf numFmtId="0" fontId="0" fillId="0" borderId="0" xfId="0" applyBorder="1" applyAlignment="1"/>
    <xf numFmtId="0" fontId="0" fillId="0" borderId="13" xfId="0" applyFill="1" applyBorder="1"/>
    <xf numFmtId="0" fontId="0" fillId="0" borderId="0" xfId="0" applyFill="1" applyBorder="1"/>
    <xf numFmtId="0" fontId="0" fillId="0" borderId="0" xfId="0" applyBorder="1" applyAlignment="1">
      <alignment horizontal="right"/>
    </xf>
    <xf numFmtId="8" fontId="0" fillId="0" borderId="0" xfId="0" applyNumberFormat="1" applyBorder="1" applyAlignment="1">
      <alignment horizontal="right"/>
    </xf>
    <xf numFmtId="0" fontId="0" fillId="0" borderId="17" xfId="0" applyBorder="1"/>
    <xf numFmtId="0" fontId="0" fillId="0" borderId="14" xfId="0" applyBorder="1" applyAlignment="1">
      <alignment horizontal="center" wrapText="1"/>
    </xf>
    <xf numFmtId="0" fontId="0" fillId="0" borderId="9" xfId="0" applyBorder="1" applyAlignment="1">
      <alignment horizontal="center"/>
    </xf>
    <xf numFmtId="0" fontId="0" fillId="0" borderId="9" xfId="0" applyBorder="1"/>
    <xf numFmtId="0" fontId="0" fillId="0" borderId="9" xfId="0" applyBorder="1" applyAlignment="1"/>
    <xf numFmtId="173" fontId="0" fillId="0" borderId="0" xfId="0" applyNumberFormat="1" applyBorder="1" applyAlignment="1"/>
    <xf numFmtId="0" fontId="0" fillId="0" borderId="16" xfId="0" applyBorder="1" applyAlignment="1">
      <alignment horizontal="center"/>
    </xf>
    <xf numFmtId="173" fontId="0" fillId="0" borderId="14" xfId="0" applyNumberFormat="1" applyBorder="1" applyAlignment="1"/>
    <xf numFmtId="173" fontId="0" fillId="0" borderId="16" xfId="0" applyNumberFormat="1" applyBorder="1" applyAlignment="1"/>
    <xf numFmtId="173" fontId="0" fillId="0" borderId="17" xfId="0" applyNumberFormat="1" applyBorder="1" applyAlignment="1"/>
    <xf numFmtId="10" fontId="0" fillId="0" borderId="0" xfId="0" applyNumberFormat="1" applyBorder="1"/>
    <xf numFmtId="0" fontId="0" fillId="0" borderId="21" xfId="0" applyBorder="1" applyAlignment="1">
      <alignment horizontal="center"/>
    </xf>
    <xf numFmtId="0" fontId="0" fillId="0" borderId="21" xfId="0" applyBorder="1" applyAlignment="1"/>
    <xf numFmtId="173" fontId="0" fillId="0" borderId="19" xfId="0" applyNumberFormat="1" applyBorder="1" applyAlignment="1"/>
    <xf numFmtId="173" fontId="0" fillId="0" borderId="20" xfId="0" applyNumberFormat="1" applyBorder="1" applyAlignment="1"/>
    <xf numFmtId="0" fontId="0" fillId="0" borderId="18" xfId="0" applyBorder="1" applyAlignment="1">
      <alignment horizontal="center" vertical="center"/>
    </xf>
    <xf numFmtId="0" fontId="0" fillId="0" borderId="19" xfId="0" applyBorder="1" applyAlignment="1">
      <alignment horizontal="center" vertical="center"/>
    </xf>
    <xf numFmtId="8" fontId="0" fillId="0" borderId="9" xfId="0" applyNumberFormat="1" applyBorder="1"/>
    <xf numFmtId="0" fontId="0" fillId="0" borderId="9" xfId="0" applyBorder="1" applyAlignment="1">
      <alignment horizontal="center" wrapText="1"/>
    </xf>
    <xf numFmtId="0" fontId="0" fillId="0" borderId="9" xfId="0" applyFill="1" applyBorder="1"/>
    <xf numFmtId="8" fontId="0" fillId="0" borderId="9" xfId="0" applyNumberFormat="1" applyBorder="1" applyAlignment="1">
      <alignment horizontal="right"/>
    </xf>
    <xf numFmtId="0" fontId="0" fillId="0" borderId="9" xfId="0" applyBorder="1" applyAlignment="1">
      <alignment wrapText="1"/>
    </xf>
    <xf numFmtId="0" fontId="0" fillId="0" borderId="11"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173" fontId="0" fillId="0" borderId="12" xfId="0" applyNumberFormat="1" applyBorder="1" applyAlignment="1"/>
    <xf numFmtId="0" fontId="0" fillId="0" borderId="20" xfId="0" applyBorder="1" applyAlignment="1">
      <alignment horizontal="center" vertical="center"/>
    </xf>
    <xf numFmtId="0" fontId="0" fillId="0" borderId="20" xfId="0" applyBorder="1"/>
    <xf numFmtId="0" fontId="0" fillId="0" borderId="0" xfId="0" applyFill="1" applyBorder="1" applyAlignment="1">
      <alignment horizontal="center" vertical="center"/>
    </xf>
    <xf numFmtId="10" fontId="0" fillId="0" borderId="0"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strRef>
              <c:f>'cal-2'!$M$60</c:f>
              <c:strCache>
                <c:ptCount val="1"/>
                <c:pt idx="0">
                  <c:v>Threshold token for optimised prompt</c:v>
                </c:pt>
              </c:strCache>
            </c:strRef>
          </c:tx>
          <c:spPr>
            <a:pattFill prst="ltUpDiag">
              <a:fgClr>
                <a:schemeClr val="accent1"/>
              </a:fgClr>
              <a:bgClr>
                <a:schemeClr val="lt1"/>
              </a:bgClr>
            </a:pattFill>
            <a:ln>
              <a:noFill/>
            </a:ln>
            <a:effectLst/>
          </c:spPr>
          <c:invertIfNegative val="0"/>
          <c:cat>
            <c:strRef>
              <c:f>'cal-2'!$L$61:$L$65</c:f>
              <c:strCache>
                <c:ptCount val="5"/>
                <c:pt idx="0">
                  <c:v>LLM 1</c:v>
                </c:pt>
                <c:pt idx="1">
                  <c:v>LLM 2</c:v>
                </c:pt>
                <c:pt idx="2">
                  <c:v>LLM 3</c:v>
                </c:pt>
                <c:pt idx="3">
                  <c:v>LLM 4</c:v>
                </c:pt>
                <c:pt idx="4">
                  <c:v>SLM 2</c:v>
                </c:pt>
              </c:strCache>
            </c:strRef>
          </c:cat>
          <c:val>
            <c:numRef>
              <c:f>'cal-2'!$M$61:$M$65</c:f>
              <c:numCache>
                <c:formatCode>0.00%</c:formatCode>
                <c:ptCount val="5"/>
                <c:pt idx="0">
                  <c:v>-0.24</c:v>
                </c:pt>
                <c:pt idx="1">
                  <c:v>-0.52500000000000002</c:v>
                </c:pt>
                <c:pt idx="2">
                  <c:v>-0.05</c:v>
                </c:pt>
                <c:pt idx="3">
                  <c:v>-0.68333333333333324</c:v>
                </c:pt>
                <c:pt idx="4">
                  <c:v>8.5</c:v>
                </c:pt>
              </c:numCache>
            </c:numRef>
          </c:val>
          <c:extLst>
            <c:ext xmlns:c16="http://schemas.microsoft.com/office/drawing/2014/chart" uri="{C3380CC4-5D6E-409C-BE32-E72D297353CC}">
              <c16:uniqueId val="{00000000-1C1B-A045-8180-4CAF104B090F}"/>
            </c:ext>
          </c:extLst>
        </c:ser>
        <c:dLbls>
          <c:showLegendKey val="0"/>
          <c:showVal val="0"/>
          <c:showCatName val="0"/>
          <c:showSerName val="0"/>
          <c:showPercent val="0"/>
          <c:showBubbleSize val="0"/>
        </c:dLbls>
        <c:gapWidth val="269"/>
        <c:overlap val="-20"/>
        <c:axId val="1549950048"/>
        <c:axId val="1550451952"/>
      </c:barChart>
      <c:catAx>
        <c:axId val="154995004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50451952"/>
        <c:crosses val="autoZero"/>
        <c:auto val="1"/>
        <c:lblAlgn val="ctr"/>
        <c:lblOffset val="100"/>
        <c:noMultiLvlLbl val="0"/>
      </c:catAx>
      <c:valAx>
        <c:axId val="15504519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49950048"/>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Cost impact on 30% reductionin Token</a:t>
            </a:r>
          </a:p>
        </c:rich>
      </c:tx>
      <c:layout>
        <c:manualLayout>
          <c:xMode val="edge"/>
          <c:yMode val="edge"/>
          <c:x val="0.29798398555443728"/>
          <c:y val="2.623906705539358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6.4916666666666664E-2"/>
          <c:y val="0.19483814523184603"/>
          <c:w val="0.84621522309711283"/>
          <c:h val="0.72128098571011956"/>
        </c:manualLayout>
      </c:layout>
      <c:barChart>
        <c:barDir val="bar"/>
        <c:grouping val="clustered"/>
        <c:varyColors val="0"/>
        <c:ser>
          <c:idx val="0"/>
          <c:order val="0"/>
          <c:tx>
            <c:strRef>
              <c:f>'cal-2'!$E$60</c:f>
              <c:strCache>
                <c:ptCount val="1"/>
                <c:pt idx="0">
                  <c:v>Cost impact on 20% reductionin Token</c:v>
                </c:pt>
              </c:strCache>
            </c:strRef>
          </c:tx>
          <c:spPr>
            <a:pattFill prst="ltUpDiag">
              <a:fgClr>
                <a:schemeClr val="accent1"/>
              </a:fgClr>
              <a:bgClr>
                <a:schemeClr val="lt1"/>
              </a:bgClr>
            </a:pattFill>
            <a:ln>
              <a:noFill/>
            </a:ln>
            <a:effectLst/>
          </c:spPr>
          <c:invertIfNegative val="0"/>
          <c:cat>
            <c:strRef>
              <c:f>'cal-2'!$D$61:$D$65</c:f>
              <c:strCache>
                <c:ptCount val="5"/>
                <c:pt idx="0">
                  <c:v>LLM 1</c:v>
                </c:pt>
                <c:pt idx="1">
                  <c:v>LLM 2</c:v>
                </c:pt>
                <c:pt idx="2">
                  <c:v>LLM 3</c:v>
                </c:pt>
                <c:pt idx="3">
                  <c:v>LLM 4</c:v>
                </c:pt>
                <c:pt idx="4">
                  <c:v>SLM 2</c:v>
                </c:pt>
              </c:strCache>
            </c:strRef>
          </c:cat>
          <c:val>
            <c:numRef>
              <c:f>'cal-2'!$E$61:$E$65</c:f>
              <c:numCache>
                <c:formatCode>0.00%</c:formatCode>
                <c:ptCount val="5"/>
                <c:pt idx="0">
                  <c:v>-7.4999999999999983E-2</c:v>
                </c:pt>
                <c:pt idx="1">
                  <c:v>0.64999999999999991</c:v>
                </c:pt>
                <c:pt idx="2">
                  <c:v>-0.14999999999999997</c:v>
                </c:pt>
                <c:pt idx="3">
                  <c:v>1.4500000000000004</c:v>
                </c:pt>
                <c:pt idx="4">
                  <c:v>-0.87</c:v>
                </c:pt>
              </c:numCache>
            </c:numRef>
          </c:val>
          <c:extLst>
            <c:ext xmlns:c16="http://schemas.microsoft.com/office/drawing/2014/chart" uri="{C3380CC4-5D6E-409C-BE32-E72D297353CC}">
              <c16:uniqueId val="{00000000-D938-F049-B486-8A1A81D863E7}"/>
            </c:ext>
          </c:extLst>
        </c:ser>
        <c:dLbls>
          <c:showLegendKey val="0"/>
          <c:showVal val="0"/>
          <c:showCatName val="0"/>
          <c:showSerName val="0"/>
          <c:showPercent val="0"/>
          <c:showBubbleSize val="0"/>
        </c:dLbls>
        <c:gapWidth val="269"/>
        <c:overlap val="-20"/>
        <c:axId val="1549897680"/>
        <c:axId val="1550346176"/>
      </c:barChart>
      <c:catAx>
        <c:axId val="1549897680"/>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1" i="0" u="none" strike="noStrike" kern="1200" cap="all" spc="150" normalizeH="0" baseline="0">
                <a:solidFill>
                  <a:schemeClr val="tx1"/>
                </a:solidFill>
                <a:latin typeface="+mn-lt"/>
                <a:ea typeface="+mn-ea"/>
                <a:cs typeface="+mn-cs"/>
              </a:defRPr>
            </a:pPr>
            <a:endParaRPr lang="en-US"/>
          </a:p>
        </c:txPr>
        <c:crossAx val="1550346176"/>
        <c:crosses val="autoZero"/>
        <c:auto val="1"/>
        <c:lblAlgn val="ctr"/>
        <c:lblOffset val="100"/>
        <c:noMultiLvlLbl val="0"/>
      </c:catAx>
      <c:valAx>
        <c:axId val="1550346176"/>
        <c:scaling>
          <c:orientation val="minMax"/>
        </c:scaling>
        <c:delete val="0"/>
        <c:axPos val="b"/>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49897680"/>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420916</xdr:colOff>
      <xdr:row>36</xdr:row>
      <xdr:rowOff>36286</xdr:rowOff>
    </xdr:from>
    <xdr:to>
      <xdr:col>16</xdr:col>
      <xdr:colOff>736601</xdr:colOff>
      <xdr:row>57</xdr:row>
      <xdr:rowOff>75294</xdr:rowOff>
    </xdr:to>
    <xdr:graphicFrame macro="">
      <xdr:nvGraphicFramePr>
        <xdr:cNvPr id="4" name="Chart 3">
          <a:extLst>
            <a:ext uri="{FF2B5EF4-FFF2-40B4-BE49-F238E27FC236}">
              <a16:creationId xmlns:a16="http://schemas.microsoft.com/office/drawing/2014/main" id="{EE07E87C-01AA-2A8C-C099-E14B9631E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1181101</xdr:colOff>
      <xdr:row>36</xdr:row>
      <xdr:rowOff>39007</xdr:rowOff>
    </xdr:from>
    <xdr:to>
      <xdr:col>9</xdr:col>
      <xdr:colOff>214993</xdr:colOff>
      <xdr:row>57</xdr:row>
      <xdr:rowOff>128815</xdr:rowOff>
    </xdr:to>
    <xdr:graphicFrame macro="">
      <xdr:nvGraphicFramePr>
        <xdr:cNvPr id="5" name="Chart 4">
          <a:extLst>
            <a:ext uri="{FF2B5EF4-FFF2-40B4-BE49-F238E27FC236}">
              <a16:creationId xmlns:a16="http://schemas.microsoft.com/office/drawing/2014/main" id="{E0823A92-082D-2975-A79D-548260149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BC4D3-7828-1644-9A87-C8E620F1FAAF}">
  <dimension ref="B1:T65"/>
  <sheetViews>
    <sheetView tabSelected="1" zoomScale="60" workbookViewId="0">
      <selection activeCell="R37" sqref="R37"/>
    </sheetView>
  </sheetViews>
  <sheetFormatPr baseColWidth="10" defaultRowHeight="16" x14ac:dyDescent="0.2"/>
  <cols>
    <col min="1" max="2" width="10.83203125" style="12"/>
    <col min="3" max="3" width="15.83203125" style="12" customWidth="1"/>
    <col min="4" max="4" width="16" style="12" customWidth="1"/>
    <col min="5" max="5" width="15.83203125" style="12" customWidth="1"/>
    <col min="6" max="6" width="14.6640625" style="12" customWidth="1"/>
    <col min="7" max="7" width="14.5" style="12" customWidth="1"/>
    <col min="8" max="8" width="10.83203125" style="12"/>
    <col min="9" max="9" width="13.5" style="12" customWidth="1"/>
    <col min="10" max="10" width="10.83203125" style="12"/>
    <col min="11" max="11" width="15.1640625" style="12" customWidth="1"/>
    <col min="12" max="12" width="22.33203125" style="12" bestFit="1" customWidth="1"/>
    <col min="13" max="13" width="13.5" style="12" customWidth="1"/>
    <col min="14" max="14" width="14.33203125" style="12" customWidth="1"/>
    <col min="15" max="15" width="10.83203125" style="12"/>
    <col min="16" max="16" width="18.83203125" style="12" customWidth="1"/>
    <col min="17" max="17" width="13.6640625" style="12" bestFit="1" customWidth="1"/>
    <col min="18" max="18" width="23.83203125" style="12" bestFit="1" customWidth="1"/>
    <col min="19" max="19" width="19.5" style="12" customWidth="1"/>
    <col min="20" max="16384" width="10.83203125" style="12"/>
  </cols>
  <sheetData>
    <row r="1" spans="2:20" x14ac:dyDescent="0.2">
      <c r="B1" s="118" t="s">
        <v>88</v>
      </c>
      <c r="C1" s="118"/>
      <c r="D1" s="118"/>
      <c r="E1" s="118"/>
      <c r="F1" s="118"/>
      <c r="G1" s="118"/>
      <c r="K1" s="118" t="s">
        <v>87</v>
      </c>
      <c r="L1" s="118"/>
      <c r="M1" s="118"/>
      <c r="N1" s="118"/>
      <c r="O1" s="118"/>
      <c r="P1" s="118"/>
    </row>
    <row r="2" spans="2:20" x14ac:dyDescent="0.2">
      <c r="B2" s="114" t="s">
        <v>54</v>
      </c>
      <c r="C2" s="114" t="s">
        <v>46</v>
      </c>
      <c r="D2" s="114"/>
      <c r="E2" s="114"/>
      <c r="F2" s="123"/>
      <c r="G2" s="127" t="s">
        <v>83</v>
      </c>
      <c r="H2" s="107"/>
      <c r="I2" s="107"/>
      <c r="K2" s="115" t="s">
        <v>72</v>
      </c>
      <c r="L2" s="115" t="s">
        <v>73</v>
      </c>
      <c r="M2" s="115" t="s">
        <v>67</v>
      </c>
      <c r="N2" s="115" t="s">
        <v>68</v>
      </c>
      <c r="O2" s="115" t="s">
        <v>70</v>
      </c>
      <c r="P2" s="115"/>
    </row>
    <row r="3" spans="2:20" x14ac:dyDescent="0.2">
      <c r="B3" s="114"/>
      <c r="C3" s="116" t="s">
        <v>57</v>
      </c>
      <c r="D3" s="116" t="s">
        <v>58</v>
      </c>
      <c r="E3" s="116" t="s">
        <v>74</v>
      </c>
      <c r="F3" s="124" t="s">
        <v>82</v>
      </c>
      <c r="G3" s="128"/>
      <c r="H3" s="107"/>
      <c r="I3" s="107"/>
      <c r="K3" s="115" t="s">
        <v>55</v>
      </c>
      <c r="L3" s="115" t="s">
        <v>62</v>
      </c>
      <c r="M3" s="129">
        <v>0.05</v>
      </c>
      <c r="N3" s="129">
        <v>0.4</v>
      </c>
      <c r="O3" s="115"/>
      <c r="P3" s="130" t="s">
        <v>66</v>
      </c>
    </row>
    <row r="4" spans="2:20" x14ac:dyDescent="0.2">
      <c r="B4" s="106">
        <v>500</v>
      </c>
      <c r="C4" s="117">
        <f>B4/1000000*M5</f>
        <v>6.2500000000000001E-4</v>
      </c>
      <c r="D4" s="117">
        <f>B4/1000000*M6</f>
        <v>1E-3</v>
      </c>
      <c r="E4" s="117">
        <f>B4/1000000*M7</f>
        <v>5.0000000000000001E-4</v>
      </c>
      <c r="F4" s="117">
        <f>B4/1000000*M8</f>
        <v>1.5E-3</v>
      </c>
      <c r="G4" s="125">
        <f>MIN(C4:F4)</f>
        <v>5.0000000000000001E-4</v>
      </c>
      <c r="H4" s="107"/>
      <c r="I4" s="107"/>
      <c r="K4" s="115" t="s">
        <v>56</v>
      </c>
      <c r="L4" s="115" t="s">
        <v>63</v>
      </c>
      <c r="M4" s="129">
        <v>0.1</v>
      </c>
      <c r="N4" s="129">
        <v>0.4</v>
      </c>
      <c r="O4" s="115"/>
      <c r="P4" s="130"/>
    </row>
    <row r="5" spans="2:20" x14ac:dyDescent="0.2">
      <c r="B5" s="106">
        <v>1000</v>
      </c>
      <c r="C5" s="117">
        <f>B5/1000000*M5</f>
        <v>1.25E-3</v>
      </c>
      <c r="D5" s="117">
        <f>B5/1000000*M6</f>
        <v>2E-3</v>
      </c>
      <c r="E5" s="117">
        <f>B5/1000000*M7</f>
        <v>1E-3</v>
      </c>
      <c r="F5" s="117">
        <f>B5/1000000*M8</f>
        <v>3.0000000000000001E-3</v>
      </c>
      <c r="G5" s="125">
        <f t="shared" ref="G5:G7" si="0">MIN(C5:F5)</f>
        <v>1E-3</v>
      </c>
      <c r="H5" s="107"/>
      <c r="I5" s="107"/>
      <c r="K5" s="115" t="s">
        <v>57</v>
      </c>
      <c r="L5" s="115" t="s">
        <v>64</v>
      </c>
      <c r="M5" s="129">
        <v>1.25</v>
      </c>
      <c r="N5" s="129">
        <v>10</v>
      </c>
      <c r="O5" s="115" t="s">
        <v>69</v>
      </c>
      <c r="P5" s="130"/>
    </row>
    <row r="6" spans="2:20" x14ac:dyDescent="0.2">
      <c r="B6" s="106">
        <v>10000</v>
      </c>
      <c r="C6" s="117">
        <f>B6/1000000*M5</f>
        <v>1.2500000000000001E-2</v>
      </c>
      <c r="D6" s="117">
        <f>B6/1000000*M5</f>
        <v>1.2500000000000001E-2</v>
      </c>
      <c r="E6" s="117">
        <f>B6/1000000*M7</f>
        <v>0.01</v>
      </c>
      <c r="F6" s="117">
        <f>B6/1000000*M8</f>
        <v>0.03</v>
      </c>
      <c r="G6" s="125">
        <f t="shared" si="0"/>
        <v>0.01</v>
      </c>
      <c r="H6" s="107"/>
      <c r="I6" s="107"/>
      <c r="K6" s="115" t="s">
        <v>58</v>
      </c>
      <c r="L6" s="115" t="s">
        <v>65</v>
      </c>
      <c r="M6" s="129">
        <v>2</v>
      </c>
      <c r="N6" s="129">
        <v>8</v>
      </c>
      <c r="O6" s="115"/>
      <c r="P6" s="130"/>
    </row>
    <row r="7" spans="2:20" x14ac:dyDescent="0.2">
      <c r="B7" s="104">
        <v>100000</v>
      </c>
      <c r="C7" s="120">
        <f>B7/1000000*M5</f>
        <v>0.125</v>
      </c>
      <c r="D7" s="120">
        <f>B7/1000000*M5</f>
        <v>0.125</v>
      </c>
      <c r="E7" s="120">
        <f>B7/1000000*M7</f>
        <v>0.1</v>
      </c>
      <c r="F7" s="120">
        <f>B7/1000000*M8</f>
        <v>0.30000000000000004</v>
      </c>
      <c r="G7" s="126">
        <f t="shared" si="0"/>
        <v>0.1</v>
      </c>
      <c r="H7" s="107"/>
      <c r="I7" s="107"/>
      <c r="K7" s="131" t="s">
        <v>74</v>
      </c>
      <c r="L7" s="131" t="s">
        <v>76</v>
      </c>
      <c r="M7" s="132">
        <v>1</v>
      </c>
      <c r="N7" s="132">
        <v>4</v>
      </c>
      <c r="O7" s="130" t="s">
        <v>78</v>
      </c>
      <c r="P7" s="115" t="s">
        <v>81</v>
      </c>
    </row>
    <row r="8" spans="2:20" x14ac:dyDescent="0.2">
      <c r="K8" s="116" t="s">
        <v>75</v>
      </c>
      <c r="L8" s="131" t="s">
        <v>77</v>
      </c>
      <c r="M8" s="132">
        <v>3</v>
      </c>
      <c r="N8" s="132">
        <v>15</v>
      </c>
      <c r="O8" s="130"/>
      <c r="P8" s="115"/>
    </row>
    <row r="9" spans="2:20" x14ac:dyDescent="0.2">
      <c r="K9" s="115" t="s">
        <v>12</v>
      </c>
      <c r="L9" s="115" t="s">
        <v>61</v>
      </c>
      <c r="M9" s="133"/>
      <c r="N9" s="133"/>
      <c r="O9" s="133"/>
      <c r="P9" s="115"/>
    </row>
    <row r="12" spans="2:20" x14ac:dyDescent="0.2">
      <c r="B12" s="118" t="s">
        <v>89</v>
      </c>
      <c r="C12" s="118"/>
      <c r="D12" s="118"/>
      <c r="E12" s="118"/>
      <c r="F12" s="118"/>
      <c r="G12" s="118"/>
      <c r="H12" s="118"/>
      <c r="I12" s="118"/>
      <c r="J12" s="118"/>
      <c r="K12" s="118"/>
      <c r="L12" s="118"/>
      <c r="M12" s="118"/>
      <c r="N12" s="118"/>
      <c r="O12" s="118"/>
      <c r="P12" s="118"/>
      <c r="Q12" s="118"/>
    </row>
    <row r="13" spans="2:20" x14ac:dyDescent="0.2">
      <c r="B13" s="38" t="s">
        <v>55</v>
      </c>
      <c r="C13" s="39"/>
      <c r="D13" s="38" t="s">
        <v>56</v>
      </c>
      <c r="E13" s="39"/>
      <c r="F13" s="38" t="s">
        <v>57</v>
      </c>
      <c r="G13" s="39"/>
      <c r="H13" s="38" t="s">
        <v>58</v>
      </c>
      <c r="I13" s="39"/>
      <c r="J13" s="38" t="s">
        <v>74</v>
      </c>
      <c r="K13" s="39"/>
      <c r="L13" s="38" t="s">
        <v>75</v>
      </c>
      <c r="M13" s="39"/>
      <c r="N13" s="49" t="s">
        <v>12</v>
      </c>
      <c r="O13" s="38" t="s">
        <v>53</v>
      </c>
      <c r="P13" s="134"/>
      <c r="Q13" s="39"/>
    </row>
    <row r="14" spans="2:20" x14ac:dyDescent="0.2">
      <c r="B14" s="135" t="s">
        <v>54</v>
      </c>
      <c r="C14" s="137" t="s">
        <v>46</v>
      </c>
      <c r="D14" s="135" t="s">
        <v>54</v>
      </c>
      <c r="E14" s="137" t="s">
        <v>46</v>
      </c>
      <c r="F14" s="135" t="s">
        <v>54</v>
      </c>
      <c r="G14" s="137" t="s">
        <v>46</v>
      </c>
      <c r="H14" s="135" t="s">
        <v>54</v>
      </c>
      <c r="I14" s="137" t="s">
        <v>46</v>
      </c>
      <c r="J14" s="135" t="s">
        <v>54</v>
      </c>
      <c r="K14" s="137" t="s">
        <v>46</v>
      </c>
      <c r="L14" s="135" t="s">
        <v>54</v>
      </c>
      <c r="M14" s="137" t="s">
        <v>46</v>
      </c>
      <c r="N14" s="139" t="s">
        <v>46</v>
      </c>
      <c r="O14" s="139" t="s">
        <v>54</v>
      </c>
      <c r="P14" s="136" t="s">
        <v>46</v>
      </c>
      <c r="Q14" s="137" t="s">
        <v>71</v>
      </c>
      <c r="R14" s="141" t="s">
        <v>84</v>
      </c>
      <c r="S14" s="141" t="s">
        <v>85</v>
      </c>
      <c r="T14" s="141" t="s">
        <v>86</v>
      </c>
    </row>
    <row r="15" spans="2:20" x14ac:dyDescent="0.2">
      <c r="B15" s="17">
        <v>500</v>
      </c>
      <c r="C15" s="138">
        <f>B15/1000000*M3</f>
        <v>2.5000000000000001E-5</v>
      </c>
      <c r="D15" s="17"/>
      <c r="E15" s="138"/>
      <c r="F15" s="17">
        <v>350</v>
      </c>
      <c r="G15" s="138">
        <f>F15/1000000*M5</f>
        <v>4.3750000000000001E-4</v>
      </c>
      <c r="H15" s="17"/>
      <c r="I15" s="138"/>
      <c r="J15" s="17"/>
      <c r="K15" s="138"/>
      <c r="L15" s="17"/>
      <c r="M15" s="138"/>
      <c r="N15" s="51"/>
      <c r="O15" s="51">
        <f>SUM(B15,D15,F15,H15,J15,L15)</f>
        <v>850</v>
      </c>
      <c r="P15" s="18">
        <f>SUM(C15,E15,G15,I15,N15,K15,M15)</f>
        <v>4.6250000000000002E-4</v>
      </c>
      <c r="Q15" s="19">
        <f>(P15-G4)/G4</f>
        <v>-7.4999999999999983E-2</v>
      </c>
      <c r="R15" s="122">
        <f>(T15-B15)/B15</f>
        <v>-0.24</v>
      </c>
      <c r="S15" s="14">
        <f>G4-C15</f>
        <v>4.75E-4</v>
      </c>
      <c r="T15" s="12">
        <f>(S15*1000000)/M5</f>
        <v>380</v>
      </c>
    </row>
    <row r="16" spans="2:20" x14ac:dyDescent="0.2">
      <c r="B16" s="20">
        <v>500</v>
      </c>
      <c r="C16" s="119">
        <f>B16/1000000*M3</f>
        <v>2.5000000000000001E-5</v>
      </c>
      <c r="D16" s="20"/>
      <c r="E16" s="119"/>
      <c r="F16" s="20"/>
      <c r="G16" s="119"/>
      <c r="H16" s="20">
        <v>400</v>
      </c>
      <c r="I16" s="119">
        <f>H16/1000000*M6</f>
        <v>8.0000000000000004E-4</v>
      </c>
      <c r="J16" s="20"/>
      <c r="K16" s="119"/>
      <c r="L16" s="20"/>
      <c r="M16" s="119"/>
      <c r="N16" s="52"/>
      <c r="O16" s="52">
        <f>SUM(B16,D16,F16,H16,J16,L16)</f>
        <v>900</v>
      </c>
      <c r="P16" s="14">
        <f>SUM(C16,E16,G16,I16,N16,K16,M16)</f>
        <v>8.25E-4</v>
      </c>
      <c r="Q16" s="21">
        <f>(P16-G4)/G4</f>
        <v>0.64999999999999991</v>
      </c>
      <c r="R16" s="122">
        <f t="shared" ref="R16:R20" si="1">(T16-B16)/B16</f>
        <v>-0.52500000000000002</v>
      </c>
      <c r="S16" s="14">
        <f>G4-C15</f>
        <v>4.75E-4</v>
      </c>
      <c r="T16" s="12">
        <f t="shared" ref="T16:T19" si="2">(S16*1000000)/M6</f>
        <v>237.5</v>
      </c>
    </row>
    <row r="17" spans="2:20" x14ac:dyDescent="0.2">
      <c r="B17" s="20">
        <v>500</v>
      </c>
      <c r="C17" s="119">
        <f>B17/1000000*M3</f>
        <v>2.5000000000000001E-5</v>
      </c>
      <c r="D17" s="20"/>
      <c r="E17" s="119"/>
      <c r="F17" s="20"/>
      <c r="G17" s="119"/>
      <c r="H17" s="20"/>
      <c r="I17" s="119"/>
      <c r="J17" s="20">
        <v>400</v>
      </c>
      <c r="K17" s="119">
        <f>J17/1000000*M7</f>
        <v>4.0000000000000002E-4</v>
      </c>
      <c r="L17" s="20"/>
      <c r="M17" s="119"/>
      <c r="N17" s="52"/>
      <c r="O17" s="52">
        <f t="shared" ref="O17:O34" si="3">SUM(B17,D17,F17,H17,J17,L17)</f>
        <v>900</v>
      </c>
      <c r="P17" s="14">
        <f t="shared" ref="P17:P34" si="4">SUM(C17,E17,G17,I17,N17,K17,M17)</f>
        <v>4.2500000000000003E-4</v>
      </c>
      <c r="Q17" s="21">
        <f>(P17-G4)/G4</f>
        <v>-0.14999999999999997</v>
      </c>
      <c r="R17" s="122">
        <f t="shared" si="1"/>
        <v>-0.05</v>
      </c>
      <c r="S17" s="14">
        <v>4.75E-4</v>
      </c>
      <c r="T17" s="12">
        <f t="shared" si="2"/>
        <v>475</v>
      </c>
    </row>
    <row r="18" spans="2:20" x14ac:dyDescent="0.2">
      <c r="B18" s="20">
        <v>500</v>
      </c>
      <c r="C18" s="119">
        <f>B18/1000000*M3</f>
        <v>2.5000000000000001E-5</v>
      </c>
      <c r="D18" s="20"/>
      <c r="E18" s="119"/>
      <c r="F18" s="20"/>
      <c r="G18" s="119"/>
      <c r="H18" s="20"/>
      <c r="I18" s="119"/>
      <c r="J18" s="20"/>
      <c r="K18" s="119"/>
      <c r="L18" s="20">
        <v>400</v>
      </c>
      <c r="M18" s="119">
        <f>L18/1000000*M8</f>
        <v>1.2000000000000001E-3</v>
      </c>
      <c r="N18" s="52"/>
      <c r="O18" s="52">
        <f t="shared" si="3"/>
        <v>900</v>
      </c>
      <c r="P18" s="14">
        <f t="shared" si="4"/>
        <v>1.2250000000000002E-3</v>
      </c>
      <c r="Q18" s="21">
        <f>(P18-G4)/G4</f>
        <v>1.4500000000000004</v>
      </c>
      <c r="R18" s="122">
        <f t="shared" si="1"/>
        <v>-0.68333333333333324</v>
      </c>
      <c r="S18" s="14">
        <v>4.75E-4</v>
      </c>
      <c r="T18" s="12">
        <f t="shared" si="2"/>
        <v>158.33333333333334</v>
      </c>
    </row>
    <row r="19" spans="2:20" x14ac:dyDescent="0.2">
      <c r="B19" s="22">
        <v>500</v>
      </c>
      <c r="C19" s="121">
        <f>B19/1000000*M3</f>
        <v>2.5000000000000001E-5</v>
      </c>
      <c r="D19" s="22">
        <v>400</v>
      </c>
      <c r="E19" s="121">
        <f>D19/1000000*M4</f>
        <v>4.0000000000000003E-5</v>
      </c>
      <c r="F19" s="22"/>
      <c r="G19" s="121"/>
      <c r="H19" s="22"/>
      <c r="I19" s="121"/>
      <c r="J19" s="22"/>
      <c r="K19" s="121"/>
      <c r="L19" s="22"/>
      <c r="M19" s="121"/>
      <c r="N19" s="140"/>
      <c r="O19" s="140">
        <f t="shared" si="3"/>
        <v>900</v>
      </c>
      <c r="P19" s="23">
        <f t="shared" si="4"/>
        <v>6.5000000000000008E-5</v>
      </c>
      <c r="Q19" s="25">
        <f>(P19-G4)/G4</f>
        <v>-0.87</v>
      </c>
      <c r="R19" s="122">
        <f t="shared" si="1"/>
        <v>8.5</v>
      </c>
      <c r="S19" s="14">
        <v>4.75E-4</v>
      </c>
      <c r="T19" s="12">
        <f>(S19*1000000)/M4</f>
        <v>4750</v>
      </c>
    </row>
    <row r="20" spans="2:20" x14ac:dyDescent="0.2">
      <c r="B20" s="17">
        <v>1000</v>
      </c>
      <c r="C20" s="138">
        <f>B20/1000000*M3</f>
        <v>5.0000000000000002E-5</v>
      </c>
      <c r="D20" s="17"/>
      <c r="E20" s="138"/>
      <c r="F20" s="17">
        <v>800</v>
      </c>
      <c r="G20" s="138">
        <f>F20/1000000*M5</f>
        <v>1E-3</v>
      </c>
      <c r="H20" s="17"/>
      <c r="I20" s="138"/>
      <c r="J20" s="17"/>
      <c r="K20" s="138"/>
      <c r="L20" s="17"/>
      <c r="M20" s="138"/>
      <c r="N20" s="51"/>
      <c r="O20" s="51">
        <f t="shared" si="3"/>
        <v>1800</v>
      </c>
      <c r="P20" s="18">
        <f t="shared" si="4"/>
        <v>1.0499999999999999E-3</v>
      </c>
      <c r="Q20" s="19">
        <f>(P20-G5)/G5</f>
        <v>4.9999999999999913E-2</v>
      </c>
      <c r="R20" s="142">
        <f t="shared" si="1"/>
        <v>-0.24</v>
      </c>
      <c r="S20" s="14">
        <f>G5-C20</f>
        <v>9.5E-4</v>
      </c>
      <c r="T20" s="109">
        <f>(S20*1000000)/M5</f>
        <v>760</v>
      </c>
    </row>
    <row r="21" spans="2:20" x14ac:dyDescent="0.2">
      <c r="B21" s="20">
        <v>1000</v>
      </c>
      <c r="C21" s="119">
        <f>B21/1000000*M3</f>
        <v>5.0000000000000002E-5</v>
      </c>
      <c r="D21" s="20"/>
      <c r="E21" s="119"/>
      <c r="F21" s="20"/>
      <c r="G21" s="119"/>
      <c r="H21" s="20">
        <v>800</v>
      </c>
      <c r="I21" s="119">
        <f>H21/1000000*M9</f>
        <v>0</v>
      </c>
      <c r="J21" s="20"/>
      <c r="K21" s="119"/>
      <c r="L21" s="20"/>
      <c r="M21" s="119"/>
      <c r="N21" s="52"/>
      <c r="O21" s="52">
        <f t="shared" si="3"/>
        <v>1800</v>
      </c>
      <c r="P21" s="14">
        <f t="shared" si="4"/>
        <v>5.0000000000000002E-5</v>
      </c>
      <c r="Q21" s="21">
        <f>(P21-G5)/G5</f>
        <v>-0.95</v>
      </c>
    </row>
    <row r="22" spans="2:20" x14ac:dyDescent="0.2">
      <c r="B22" s="20">
        <v>1000</v>
      </c>
      <c r="C22" s="119">
        <f>B22/1000000*M3</f>
        <v>5.0000000000000002E-5</v>
      </c>
      <c r="D22" s="20"/>
      <c r="E22" s="119"/>
      <c r="F22" s="20"/>
      <c r="G22" s="119"/>
      <c r="H22" s="20"/>
      <c r="I22" s="119"/>
      <c r="J22" s="20">
        <v>800</v>
      </c>
      <c r="K22" s="119">
        <f>J22/1000000*M7</f>
        <v>8.0000000000000004E-4</v>
      </c>
      <c r="L22" s="20"/>
      <c r="M22" s="119"/>
      <c r="N22" s="52"/>
      <c r="O22" s="52">
        <f t="shared" si="3"/>
        <v>1800</v>
      </c>
      <c r="P22" s="14">
        <f t="shared" si="4"/>
        <v>8.5000000000000006E-4</v>
      </c>
      <c r="Q22" s="21">
        <f>(P22-G5)/G5</f>
        <v>-0.14999999999999997</v>
      </c>
    </row>
    <row r="23" spans="2:20" x14ac:dyDescent="0.2">
      <c r="B23" s="20">
        <v>1000</v>
      </c>
      <c r="C23" s="119">
        <f>B23/1000000*M3</f>
        <v>5.0000000000000002E-5</v>
      </c>
      <c r="D23" s="20"/>
      <c r="E23" s="119"/>
      <c r="F23" s="20"/>
      <c r="G23" s="119"/>
      <c r="H23" s="20"/>
      <c r="I23" s="119"/>
      <c r="J23" s="20"/>
      <c r="K23" s="119"/>
      <c r="L23" s="20">
        <v>800</v>
      </c>
      <c r="M23" s="119">
        <f>L23/1000000*M8</f>
        <v>2.4000000000000002E-3</v>
      </c>
      <c r="N23" s="52"/>
      <c r="O23" s="52">
        <f t="shared" si="3"/>
        <v>1800</v>
      </c>
      <c r="P23" s="14">
        <f t="shared" si="4"/>
        <v>2.4500000000000004E-3</v>
      </c>
      <c r="Q23" s="21">
        <f>(P23-G5)/G5</f>
        <v>1.4500000000000004</v>
      </c>
    </row>
    <row r="24" spans="2:20" x14ac:dyDescent="0.2">
      <c r="B24" s="22">
        <v>1000</v>
      </c>
      <c r="C24" s="121">
        <f>B24/1000000*M3</f>
        <v>5.0000000000000002E-5</v>
      </c>
      <c r="D24" s="22">
        <v>800</v>
      </c>
      <c r="E24" s="121">
        <f>D24/1000000*M4</f>
        <v>8.0000000000000007E-5</v>
      </c>
      <c r="F24" s="22"/>
      <c r="G24" s="121"/>
      <c r="H24" s="22"/>
      <c r="I24" s="121"/>
      <c r="J24" s="22"/>
      <c r="K24" s="121"/>
      <c r="L24" s="22"/>
      <c r="M24" s="121"/>
      <c r="N24" s="140"/>
      <c r="O24" s="140">
        <f t="shared" si="3"/>
        <v>1800</v>
      </c>
      <c r="P24" s="23">
        <f t="shared" si="4"/>
        <v>1.3000000000000002E-4</v>
      </c>
      <c r="Q24" s="25">
        <f>(P24-G5)/G5</f>
        <v>-0.87</v>
      </c>
    </row>
    <row r="25" spans="2:20" x14ac:dyDescent="0.2">
      <c r="B25" s="17">
        <v>10000</v>
      </c>
      <c r="C25" s="138">
        <f>B25/1000000*M3</f>
        <v>5.0000000000000001E-4</v>
      </c>
      <c r="D25" s="17"/>
      <c r="E25" s="138"/>
      <c r="F25" s="17">
        <v>8000</v>
      </c>
      <c r="G25" s="138">
        <f>F25/1000000*M5</f>
        <v>0.01</v>
      </c>
      <c r="H25" s="17"/>
      <c r="I25" s="138"/>
      <c r="J25" s="17"/>
      <c r="K25" s="138"/>
      <c r="L25" s="17"/>
      <c r="M25" s="138"/>
      <c r="N25" s="51"/>
      <c r="O25" s="51">
        <f t="shared" si="3"/>
        <v>18000</v>
      </c>
      <c r="P25" s="18">
        <f t="shared" si="4"/>
        <v>1.0500000000000001E-2</v>
      </c>
      <c r="Q25" s="19">
        <f>(P25-G6)/G6</f>
        <v>5.0000000000000044E-2</v>
      </c>
    </row>
    <row r="26" spans="2:20" x14ac:dyDescent="0.2">
      <c r="B26" s="20">
        <v>10000</v>
      </c>
      <c r="C26" s="119">
        <f>B26/1000000*M3</f>
        <v>5.0000000000000001E-4</v>
      </c>
      <c r="D26" s="20"/>
      <c r="E26" s="119"/>
      <c r="F26" s="20"/>
      <c r="G26" s="119"/>
      <c r="H26" s="20">
        <v>8000</v>
      </c>
      <c r="I26" s="119">
        <f>H26/1000000*M12</f>
        <v>0</v>
      </c>
      <c r="J26" s="20"/>
      <c r="K26" s="119"/>
      <c r="L26" s="20"/>
      <c r="M26" s="119"/>
      <c r="N26" s="52"/>
      <c r="O26" s="52">
        <f t="shared" si="3"/>
        <v>18000</v>
      </c>
      <c r="P26" s="14">
        <f t="shared" si="4"/>
        <v>5.0000000000000001E-4</v>
      </c>
      <c r="Q26" s="21">
        <f>(P26-G6)/G6</f>
        <v>-0.95</v>
      </c>
    </row>
    <row r="27" spans="2:20" x14ac:dyDescent="0.2">
      <c r="B27" s="20">
        <v>10000</v>
      </c>
      <c r="C27" s="119">
        <f>B27/1000000*M3</f>
        <v>5.0000000000000001E-4</v>
      </c>
      <c r="D27" s="20"/>
      <c r="E27" s="119"/>
      <c r="F27" s="20"/>
      <c r="G27" s="119"/>
      <c r="H27" s="20"/>
      <c r="I27" s="119"/>
      <c r="J27" s="20">
        <v>8000</v>
      </c>
      <c r="K27" s="119">
        <f>J27/1000000*M7</f>
        <v>8.0000000000000002E-3</v>
      </c>
      <c r="L27" s="20"/>
      <c r="M27" s="119"/>
      <c r="N27" s="52"/>
      <c r="O27" s="52">
        <f t="shared" si="3"/>
        <v>18000</v>
      </c>
      <c r="P27" s="14">
        <f t="shared" si="4"/>
        <v>8.5000000000000006E-3</v>
      </c>
      <c r="Q27" s="21">
        <f>(P27-G6)/G6</f>
        <v>-0.14999999999999997</v>
      </c>
    </row>
    <row r="28" spans="2:20" x14ac:dyDescent="0.2">
      <c r="B28" s="20">
        <v>10000</v>
      </c>
      <c r="C28" s="119">
        <f>B28/1000000*M3</f>
        <v>5.0000000000000001E-4</v>
      </c>
      <c r="D28" s="20"/>
      <c r="E28" s="119"/>
      <c r="F28" s="20"/>
      <c r="G28" s="119"/>
      <c r="H28" s="20"/>
      <c r="I28" s="119"/>
      <c r="J28" s="20"/>
      <c r="K28" s="119"/>
      <c r="L28" s="20">
        <v>8000</v>
      </c>
      <c r="M28" s="119">
        <f>L28/1000000*M8</f>
        <v>2.4E-2</v>
      </c>
      <c r="N28" s="52"/>
      <c r="O28" s="52">
        <f t="shared" si="3"/>
        <v>18000</v>
      </c>
      <c r="P28" s="14">
        <f t="shared" si="4"/>
        <v>2.4500000000000001E-2</v>
      </c>
      <c r="Q28" s="21">
        <f>(P28-G6)/G6</f>
        <v>1.45</v>
      </c>
    </row>
    <row r="29" spans="2:20" x14ac:dyDescent="0.2">
      <c r="B29" s="22">
        <v>10000</v>
      </c>
      <c r="C29" s="121">
        <f>B29/1000000*M3</f>
        <v>5.0000000000000001E-4</v>
      </c>
      <c r="D29" s="22">
        <v>8000</v>
      </c>
      <c r="E29" s="121">
        <f>D29/1000000*M4</f>
        <v>8.0000000000000004E-4</v>
      </c>
      <c r="F29" s="22"/>
      <c r="G29" s="121"/>
      <c r="H29" s="22"/>
      <c r="I29" s="121"/>
      <c r="J29" s="22"/>
      <c r="K29" s="121"/>
      <c r="L29" s="22"/>
      <c r="M29" s="121"/>
      <c r="N29" s="140"/>
      <c r="O29" s="140">
        <f t="shared" si="3"/>
        <v>18000</v>
      </c>
      <c r="P29" s="23">
        <f t="shared" si="4"/>
        <v>1.2999999999999999E-3</v>
      </c>
      <c r="Q29" s="25">
        <f>(P29-G6)/G6</f>
        <v>-0.86999999999999988</v>
      </c>
    </row>
    <row r="30" spans="2:20" x14ac:dyDescent="0.2">
      <c r="B30" s="20">
        <v>100000</v>
      </c>
      <c r="C30" s="119">
        <f>B30/1000000*M3</f>
        <v>5.000000000000001E-3</v>
      </c>
      <c r="D30" s="20"/>
      <c r="E30" s="119"/>
      <c r="F30" s="20">
        <v>80000</v>
      </c>
      <c r="G30" s="119">
        <f>F30/1000000*M5</f>
        <v>0.1</v>
      </c>
      <c r="H30" s="20"/>
      <c r="I30" s="119"/>
      <c r="J30" s="20"/>
      <c r="K30" s="119"/>
      <c r="L30" s="20"/>
      <c r="M30" s="119"/>
      <c r="N30" s="52"/>
      <c r="O30" s="52">
        <f t="shared" si="3"/>
        <v>180000</v>
      </c>
      <c r="P30" s="14">
        <f t="shared" si="4"/>
        <v>0.10500000000000001</v>
      </c>
      <c r="Q30" s="21">
        <f>(P30-G7)/G7</f>
        <v>5.0000000000000044E-2</v>
      </c>
    </row>
    <row r="31" spans="2:20" x14ac:dyDescent="0.2">
      <c r="B31" s="20">
        <v>100000</v>
      </c>
      <c r="C31" s="119">
        <f>B31/1000000*M3</f>
        <v>5.000000000000001E-3</v>
      </c>
      <c r="D31" s="20"/>
      <c r="E31" s="119"/>
      <c r="F31" s="20"/>
      <c r="G31" s="119"/>
      <c r="H31" s="20">
        <v>80000</v>
      </c>
      <c r="I31" s="119">
        <f>H31/1000000*M15</f>
        <v>0</v>
      </c>
      <c r="J31" s="20"/>
      <c r="K31" s="119"/>
      <c r="L31" s="20"/>
      <c r="M31" s="119"/>
      <c r="N31" s="52"/>
      <c r="O31" s="52">
        <f t="shared" si="3"/>
        <v>180000</v>
      </c>
      <c r="P31" s="14">
        <f t="shared" si="4"/>
        <v>5.000000000000001E-3</v>
      </c>
      <c r="Q31" s="21">
        <f>(P31-G7)/G7</f>
        <v>-0.95</v>
      </c>
    </row>
    <row r="32" spans="2:20" x14ac:dyDescent="0.2">
      <c r="B32" s="20">
        <v>100000</v>
      </c>
      <c r="C32" s="119">
        <f>B32/1000000*M3</f>
        <v>5.000000000000001E-3</v>
      </c>
      <c r="D32" s="20"/>
      <c r="E32" s="119"/>
      <c r="F32" s="20"/>
      <c r="G32" s="119"/>
      <c r="H32" s="20"/>
      <c r="I32" s="119"/>
      <c r="J32" s="20">
        <v>80000</v>
      </c>
      <c r="K32" s="119">
        <f>J32/1000000*M7</f>
        <v>0.08</v>
      </c>
      <c r="L32" s="20"/>
      <c r="M32" s="119"/>
      <c r="N32" s="52"/>
      <c r="O32" s="52">
        <f t="shared" si="3"/>
        <v>180000</v>
      </c>
      <c r="P32" s="14">
        <f t="shared" si="4"/>
        <v>8.5000000000000006E-2</v>
      </c>
      <c r="Q32" s="21">
        <f>(P32-G7)/G7</f>
        <v>-0.15</v>
      </c>
    </row>
    <row r="33" spans="2:17" x14ac:dyDescent="0.2">
      <c r="B33" s="20">
        <v>100000</v>
      </c>
      <c r="C33" s="119">
        <f>B33/1000000*M3</f>
        <v>5.000000000000001E-3</v>
      </c>
      <c r="D33" s="20"/>
      <c r="E33" s="119"/>
      <c r="F33" s="20"/>
      <c r="G33" s="119"/>
      <c r="H33" s="20"/>
      <c r="I33" s="119"/>
      <c r="J33" s="20"/>
      <c r="K33" s="119"/>
      <c r="L33" s="20">
        <v>80000</v>
      </c>
      <c r="M33" s="119">
        <f>L33/1000000*M8</f>
        <v>0.24</v>
      </c>
      <c r="N33" s="52"/>
      <c r="O33" s="52">
        <f t="shared" si="3"/>
        <v>180000</v>
      </c>
      <c r="P33" s="14">
        <f t="shared" si="4"/>
        <v>0.245</v>
      </c>
      <c r="Q33" s="21">
        <f>(P33-G7)/G7</f>
        <v>1.4499999999999997</v>
      </c>
    </row>
    <row r="34" spans="2:17" x14ac:dyDescent="0.2">
      <c r="B34" s="22">
        <v>100000</v>
      </c>
      <c r="C34" s="121">
        <f>B34/1000000*M3</f>
        <v>5.000000000000001E-3</v>
      </c>
      <c r="D34" s="22">
        <v>80000</v>
      </c>
      <c r="E34" s="121">
        <f>D34/1000000*M4</f>
        <v>8.0000000000000002E-3</v>
      </c>
      <c r="F34" s="22"/>
      <c r="G34" s="121"/>
      <c r="H34" s="22"/>
      <c r="I34" s="121"/>
      <c r="J34" s="22"/>
      <c r="K34" s="112"/>
      <c r="L34" s="22"/>
      <c r="M34" s="121"/>
      <c r="N34" s="140"/>
      <c r="O34" s="140">
        <f t="shared" si="3"/>
        <v>180000</v>
      </c>
      <c r="P34" s="23">
        <f t="shared" si="4"/>
        <v>1.3000000000000001E-2</v>
      </c>
      <c r="Q34" s="25">
        <f>(P34-G7)/G7</f>
        <v>-0.87</v>
      </c>
    </row>
    <row r="39" spans="2:17" x14ac:dyDescent="0.2">
      <c r="E39" s="14"/>
      <c r="F39" s="14"/>
    </row>
    <row r="60" spans="4:13" x14ac:dyDescent="0.2">
      <c r="D60" s="12" t="s">
        <v>92</v>
      </c>
      <c r="E60" s="12" t="s">
        <v>91</v>
      </c>
      <c r="L60" s="12" t="s">
        <v>92</v>
      </c>
      <c r="M60" s="141" t="s">
        <v>90</v>
      </c>
    </row>
    <row r="61" spans="4:13" x14ac:dyDescent="0.2">
      <c r="D61" s="12" t="s">
        <v>57</v>
      </c>
      <c r="E61" s="122">
        <v>-7.4999999999999983E-2</v>
      </c>
      <c r="L61" s="12" t="s">
        <v>57</v>
      </c>
      <c r="M61" s="122">
        <v>-0.24</v>
      </c>
    </row>
    <row r="62" spans="4:13" x14ac:dyDescent="0.2">
      <c r="D62" s="12" t="s">
        <v>58</v>
      </c>
      <c r="E62" s="122">
        <v>0.64999999999999991</v>
      </c>
      <c r="L62" s="12" t="s">
        <v>58</v>
      </c>
      <c r="M62" s="122">
        <v>-0.52500000000000002</v>
      </c>
    </row>
    <row r="63" spans="4:13" x14ac:dyDescent="0.2">
      <c r="D63" s="109" t="s">
        <v>74</v>
      </c>
      <c r="E63" s="122">
        <v>-0.14999999999999997</v>
      </c>
      <c r="L63" s="12" t="s">
        <v>74</v>
      </c>
      <c r="M63" s="122">
        <v>-0.05</v>
      </c>
    </row>
    <row r="64" spans="4:13" x14ac:dyDescent="0.2">
      <c r="D64" s="109" t="s">
        <v>75</v>
      </c>
      <c r="E64" s="122">
        <v>1.4500000000000004</v>
      </c>
      <c r="L64" s="12" t="s">
        <v>75</v>
      </c>
      <c r="M64" s="122">
        <v>-0.68333333333333324</v>
      </c>
    </row>
    <row r="65" spans="4:13" x14ac:dyDescent="0.2">
      <c r="D65" s="109" t="s">
        <v>56</v>
      </c>
      <c r="E65" s="122">
        <v>-0.87</v>
      </c>
      <c r="L65" s="109" t="s">
        <v>56</v>
      </c>
      <c r="M65" s="122">
        <v>8.5</v>
      </c>
    </row>
  </sheetData>
  <mergeCells count="15">
    <mergeCell ref="O13:Q13"/>
    <mergeCell ref="K1:P1"/>
    <mergeCell ref="B1:G1"/>
    <mergeCell ref="B12:Q12"/>
    <mergeCell ref="B2:B3"/>
    <mergeCell ref="C2:F2"/>
    <mergeCell ref="J13:K13"/>
    <mergeCell ref="L13:M13"/>
    <mergeCell ref="G2:G3"/>
    <mergeCell ref="P3:P6"/>
    <mergeCell ref="O7:O8"/>
    <mergeCell ref="B13:C13"/>
    <mergeCell ref="D13:E13"/>
    <mergeCell ref="F13:G13"/>
    <mergeCell ref="H13:I13"/>
  </mergeCells>
  <phoneticPr fontId="3" type="noConversion"/>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14552-7102-2648-86AE-9CEA6E4254C6}">
  <dimension ref="A1:H10"/>
  <sheetViews>
    <sheetView topLeftCell="A5" zoomScale="173" workbookViewId="0">
      <selection activeCell="B7" sqref="B7"/>
    </sheetView>
  </sheetViews>
  <sheetFormatPr baseColWidth="10" defaultRowHeight="65" customHeight="1" x14ac:dyDescent="0.2"/>
  <cols>
    <col min="1" max="1" width="6.5" style="3" bestFit="1" customWidth="1"/>
    <col min="2" max="2" width="62.5" style="3" customWidth="1"/>
    <col min="3" max="3" width="41.1640625" style="3" customWidth="1"/>
    <col min="4" max="4" width="26.33203125" style="3" customWidth="1"/>
    <col min="5" max="5" width="23.6640625" style="3" customWidth="1"/>
    <col min="6" max="6" width="33" style="3" customWidth="1"/>
    <col min="7" max="7" width="43" style="3" customWidth="1"/>
    <col min="8" max="8" width="12.5" style="3" bestFit="1" customWidth="1"/>
    <col min="9" max="16384" width="10.83203125" style="3"/>
  </cols>
  <sheetData>
    <row r="1" spans="1:8" ht="22" customHeight="1" x14ac:dyDescent="0.2">
      <c r="B1" s="4" t="s">
        <v>13</v>
      </c>
      <c r="C1" s="4"/>
      <c r="D1" s="4"/>
      <c r="E1" s="4"/>
      <c r="F1" s="4"/>
      <c r="G1" s="4"/>
      <c r="H1" s="5" t="s">
        <v>12</v>
      </c>
    </row>
    <row r="2" spans="1:8" ht="22" customHeight="1" x14ac:dyDescent="0.2">
      <c r="B2" s="4" t="s">
        <v>6</v>
      </c>
      <c r="C2" s="4"/>
      <c r="D2" s="4"/>
      <c r="E2" s="4" t="s">
        <v>10</v>
      </c>
      <c r="F2" s="4"/>
      <c r="G2" s="4"/>
      <c r="H2" s="5"/>
    </row>
    <row r="3" spans="1:8" ht="18" customHeight="1" x14ac:dyDescent="0.2">
      <c r="A3" s="3" t="s">
        <v>11</v>
      </c>
      <c r="B3" s="3" t="s">
        <v>7</v>
      </c>
      <c r="C3" s="3" t="s">
        <v>8</v>
      </c>
      <c r="D3" s="3" t="s">
        <v>9</v>
      </c>
      <c r="E3" s="3" t="s">
        <v>7</v>
      </c>
      <c r="F3" s="3" t="s">
        <v>8</v>
      </c>
      <c r="G3" s="3" t="s">
        <v>9</v>
      </c>
      <c r="H3" s="5"/>
    </row>
    <row r="4" spans="1:8" ht="65" customHeight="1" x14ac:dyDescent="0.2">
      <c r="A4" s="3">
        <v>1</v>
      </c>
      <c r="B4" s="3" t="s">
        <v>14</v>
      </c>
      <c r="C4" s="6" t="s">
        <v>18</v>
      </c>
      <c r="D4" s="3" t="s">
        <v>23</v>
      </c>
      <c r="E4" t="s">
        <v>28</v>
      </c>
      <c r="F4" t="s">
        <v>33</v>
      </c>
      <c r="G4" s="7" t="s">
        <v>38</v>
      </c>
      <c r="H4" s="3" t="s">
        <v>0</v>
      </c>
    </row>
    <row r="5" spans="1:8" ht="65" customHeight="1" x14ac:dyDescent="0.2">
      <c r="A5" s="3">
        <v>2</v>
      </c>
      <c r="B5" s="3" t="s">
        <v>15</v>
      </c>
      <c r="C5" s="3" t="s">
        <v>19</v>
      </c>
      <c r="D5" s="3" t="s">
        <v>24</v>
      </c>
      <c r="E5" t="s">
        <v>29</v>
      </c>
      <c r="F5" t="s">
        <v>34</v>
      </c>
      <c r="G5" s="7" t="s">
        <v>39</v>
      </c>
      <c r="H5" s="3" t="s">
        <v>1</v>
      </c>
    </row>
    <row r="6" spans="1:8" ht="65" customHeight="1" x14ac:dyDescent="0.2">
      <c r="A6" s="3">
        <v>3</v>
      </c>
      <c r="B6" s="3" t="s">
        <v>16</v>
      </c>
      <c r="C6" s="3" t="s">
        <v>20</v>
      </c>
      <c r="D6" s="3" t="s">
        <v>25</v>
      </c>
      <c r="E6" t="s">
        <v>30</v>
      </c>
      <c r="F6" t="s">
        <v>35</v>
      </c>
      <c r="G6" s="7" t="s">
        <v>40</v>
      </c>
      <c r="H6" s="3" t="s">
        <v>2</v>
      </c>
    </row>
    <row r="7" spans="1:8" ht="65" customHeight="1" x14ac:dyDescent="0.2">
      <c r="A7" s="3">
        <v>4</v>
      </c>
      <c r="B7" s="3" t="s">
        <v>60</v>
      </c>
      <c r="C7" s="3" t="s">
        <v>21</v>
      </c>
      <c r="D7" s="3" t="s">
        <v>26</v>
      </c>
      <c r="E7" t="s">
        <v>31</v>
      </c>
      <c r="F7" t="s">
        <v>36</v>
      </c>
      <c r="G7" s="7" t="s">
        <v>41</v>
      </c>
      <c r="H7" s="3" t="s">
        <v>3</v>
      </c>
    </row>
    <row r="8" spans="1:8" ht="65" customHeight="1" x14ac:dyDescent="0.2">
      <c r="A8" s="3">
        <v>5</v>
      </c>
      <c r="B8" s="3" t="s">
        <v>17</v>
      </c>
      <c r="C8" s="3" t="s">
        <v>22</v>
      </c>
      <c r="D8" s="3" t="s">
        <v>27</v>
      </c>
      <c r="E8" t="s">
        <v>32</v>
      </c>
      <c r="F8" t="s">
        <v>37</v>
      </c>
      <c r="G8" s="7" t="s">
        <v>42</v>
      </c>
      <c r="H8" s="3" t="s">
        <v>4</v>
      </c>
    </row>
    <row r="9" spans="1:8" ht="65" customHeight="1" x14ac:dyDescent="0.2">
      <c r="G9" s="7" t="s">
        <v>43</v>
      </c>
      <c r="H9" s="3" t="s">
        <v>5</v>
      </c>
    </row>
    <row r="10" spans="1:8" ht="65" customHeight="1" x14ac:dyDescent="0.2">
      <c r="G10" s="7" t="s">
        <v>44</v>
      </c>
    </row>
  </sheetData>
  <mergeCells count="4">
    <mergeCell ref="E2:G2"/>
    <mergeCell ref="B2:D2"/>
    <mergeCell ref="B1:G1"/>
    <mergeCell ref="H1: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50343-9822-1547-AEE9-7AB08057E49E}">
  <dimension ref="A1:T25"/>
  <sheetViews>
    <sheetView topLeftCell="D1" zoomScale="130" zoomScaleNormal="130" workbookViewId="0">
      <selection activeCell="D11" sqref="D11:O24"/>
    </sheetView>
  </sheetViews>
  <sheetFormatPr baseColWidth="10" defaultRowHeight="16" x14ac:dyDescent="0.2"/>
  <cols>
    <col min="1" max="1" width="16.1640625" hidden="1" customWidth="1"/>
    <col min="2" max="2" width="15.5" hidden="1" customWidth="1"/>
    <col min="3" max="3" width="0" hidden="1" customWidth="1"/>
    <col min="5" max="5" width="23.33203125" bestFit="1" customWidth="1"/>
    <col min="7" max="7" width="12.33203125" bestFit="1" customWidth="1"/>
    <col min="9" max="9" width="13.83203125" customWidth="1"/>
    <col min="11" max="11" width="19.6640625" customWidth="1"/>
    <col min="12" max="12" width="21.83203125" bestFit="1" customWidth="1"/>
    <col min="14" max="14" width="12.33203125" bestFit="1" customWidth="1"/>
    <col min="15" max="15" width="16.1640625" customWidth="1"/>
    <col min="16" max="16" width="31.1640625" customWidth="1"/>
  </cols>
  <sheetData>
    <row r="1" spans="1:20" ht="17" thickBot="1" x14ac:dyDescent="0.25">
      <c r="K1" s="56" t="s">
        <v>72</v>
      </c>
      <c r="L1" s="57" t="s">
        <v>73</v>
      </c>
      <c r="M1" s="57" t="s">
        <v>67</v>
      </c>
      <c r="N1" s="57" t="s">
        <v>68</v>
      </c>
      <c r="O1" s="58" t="s">
        <v>70</v>
      </c>
      <c r="P1" s="58"/>
    </row>
    <row r="2" spans="1:20" ht="16" customHeight="1" x14ac:dyDescent="0.2">
      <c r="D2" s="9" t="s">
        <v>59</v>
      </c>
      <c r="E2" s="10"/>
      <c r="F2" s="10" t="s">
        <v>58</v>
      </c>
      <c r="G2" s="16"/>
      <c r="K2" s="20" t="s">
        <v>55</v>
      </c>
      <c r="L2" s="12" t="s">
        <v>62</v>
      </c>
      <c r="M2" s="55">
        <v>0.05</v>
      </c>
      <c r="N2" s="55">
        <v>0.4</v>
      </c>
      <c r="O2" s="12"/>
      <c r="P2" s="113" t="s">
        <v>66</v>
      </c>
      <c r="Q2" s="107"/>
      <c r="R2" s="107"/>
      <c r="S2" s="107"/>
      <c r="T2" s="107"/>
    </row>
    <row r="3" spans="1:20" x14ac:dyDescent="0.2">
      <c r="B3" t="s">
        <v>48</v>
      </c>
      <c r="C3" t="s">
        <v>51</v>
      </c>
      <c r="D3" s="11" t="s">
        <v>45</v>
      </c>
      <c r="E3" s="12" t="s">
        <v>46</v>
      </c>
      <c r="F3" s="12" t="s">
        <v>45</v>
      </c>
      <c r="G3" s="13" t="s">
        <v>46</v>
      </c>
      <c r="K3" s="20" t="s">
        <v>56</v>
      </c>
      <c r="L3" s="12" t="s">
        <v>63</v>
      </c>
      <c r="M3" s="55">
        <v>0.1</v>
      </c>
      <c r="N3" s="55">
        <v>0.4</v>
      </c>
      <c r="O3" s="12"/>
      <c r="P3" s="113"/>
      <c r="Q3" s="107"/>
      <c r="R3" s="107"/>
      <c r="S3" s="107"/>
      <c r="T3" s="107"/>
    </row>
    <row r="4" spans="1:20" x14ac:dyDescent="0.2">
      <c r="A4" s="2" t="s">
        <v>47</v>
      </c>
      <c r="B4" t="s">
        <v>49</v>
      </c>
      <c r="C4">
        <v>4</v>
      </c>
      <c r="D4" s="60">
        <v>324</v>
      </c>
      <c r="E4" s="61">
        <v>4.0499999999999998E-4</v>
      </c>
      <c r="F4" s="62">
        <v>324</v>
      </c>
      <c r="G4" s="63">
        <v>6.4800000000000003E-4</v>
      </c>
      <c r="K4" s="20" t="s">
        <v>57</v>
      </c>
      <c r="L4" s="12" t="s">
        <v>64</v>
      </c>
      <c r="M4" s="55">
        <v>1.25</v>
      </c>
      <c r="N4" s="55">
        <v>10</v>
      </c>
      <c r="O4" s="12" t="s">
        <v>69</v>
      </c>
      <c r="P4" s="113"/>
      <c r="Q4" s="107"/>
      <c r="R4" s="107"/>
      <c r="S4" s="107"/>
      <c r="T4" s="107"/>
    </row>
    <row r="5" spans="1:20" x14ac:dyDescent="0.2">
      <c r="A5" s="2"/>
      <c r="B5" t="s">
        <v>50</v>
      </c>
      <c r="D5" s="64">
        <v>1000</v>
      </c>
      <c r="E5" s="65">
        <v>1.25E-3</v>
      </c>
      <c r="F5" s="66">
        <v>1000</v>
      </c>
      <c r="G5" s="67">
        <v>2E-3</v>
      </c>
      <c r="K5" s="20" t="s">
        <v>58</v>
      </c>
      <c r="L5" s="12" t="s">
        <v>65</v>
      </c>
      <c r="M5" s="55">
        <v>2</v>
      </c>
      <c r="N5" s="55">
        <v>8</v>
      </c>
      <c r="O5" s="12"/>
      <c r="P5" s="113"/>
      <c r="Q5" s="107"/>
      <c r="R5" s="107"/>
      <c r="S5" s="107"/>
      <c r="T5" s="107"/>
    </row>
    <row r="6" spans="1:20" ht="17" thickBot="1" x14ac:dyDescent="0.25">
      <c r="A6" s="2"/>
      <c r="B6" t="s">
        <v>9</v>
      </c>
      <c r="D6" s="68">
        <v>10000</v>
      </c>
      <c r="E6" s="69">
        <v>1.2500000000000001E-2</v>
      </c>
      <c r="F6" s="70">
        <v>10000</v>
      </c>
      <c r="G6" s="71">
        <v>0.02</v>
      </c>
      <c r="K6" s="108" t="s">
        <v>74</v>
      </c>
      <c r="L6" s="109" t="s">
        <v>76</v>
      </c>
      <c r="M6" s="110" t="s">
        <v>79</v>
      </c>
      <c r="N6" s="110" t="s">
        <v>80</v>
      </c>
      <c r="O6" s="105" t="s">
        <v>78</v>
      </c>
      <c r="P6" s="45" t="s">
        <v>81</v>
      </c>
    </row>
    <row r="7" spans="1:20" x14ac:dyDescent="0.2">
      <c r="A7" s="2" t="s">
        <v>52</v>
      </c>
      <c r="B7" t="s">
        <v>49</v>
      </c>
      <c r="D7" s="101">
        <v>100000</v>
      </c>
      <c r="E7" s="102">
        <f>(D7/1000000)*M4</f>
        <v>0.125</v>
      </c>
      <c r="F7" s="101">
        <v>100000</v>
      </c>
      <c r="G7" s="102">
        <f>(F7/1000000)*M5</f>
        <v>0.2</v>
      </c>
      <c r="K7" s="106" t="s">
        <v>75</v>
      </c>
      <c r="L7" s="109" t="s">
        <v>77</v>
      </c>
      <c r="M7" s="111">
        <v>3</v>
      </c>
      <c r="N7" s="111">
        <v>15</v>
      </c>
      <c r="O7" s="105"/>
      <c r="P7" s="45"/>
    </row>
    <row r="8" spans="1:20" x14ac:dyDescent="0.2">
      <c r="A8" s="2"/>
      <c r="B8" t="s">
        <v>50</v>
      </c>
      <c r="K8" s="22" t="s">
        <v>12</v>
      </c>
      <c r="L8" s="24" t="s">
        <v>61</v>
      </c>
      <c r="M8" s="103"/>
      <c r="N8" s="103"/>
      <c r="O8" s="103"/>
      <c r="P8" s="112"/>
    </row>
    <row r="9" spans="1:20" x14ac:dyDescent="0.2">
      <c r="A9" s="2"/>
      <c r="B9" t="s">
        <v>9</v>
      </c>
    </row>
    <row r="10" spans="1:20" ht="17" thickBot="1" x14ac:dyDescent="0.25"/>
    <row r="11" spans="1:20" x14ac:dyDescent="0.2">
      <c r="D11" s="38" t="s">
        <v>55</v>
      </c>
      <c r="E11" s="39"/>
      <c r="F11" s="38" t="s">
        <v>56</v>
      </c>
      <c r="G11" s="39"/>
      <c r="H11" s="38" t="s">
        <v>57</v>
      </c>
      <c r="I11" s="39"/>
      <c r="J11" s="38" t="s">
        <v>58</v>
      </c>
      <c r="K11" s="39"/>
      <c r="L11" s="49" t="s">
        <v>12</v>
      </c>
      <c r="M11" s="26" t="s">
        <v>53</v>
      </c>
      <c r="N11" s="26"/>
      <c r="O11" s="27"/>
    </row>
    <row r="12" spans="1:20" x14ac:dyDescent="0.2">
      <c r="C12" t="s">
        <v>51</v>
      </c>
      <c r="D12" s="40" t="s">
        <v>54</v>
      </c>
      <c r="E12" s="41" t="s">
        <v>46</v>
      </c>
      <c r="F12" s="40" t="s">
        <v>54</v>
      </c>
      <c r="G12" s="41" t="s">
        <v>46</v>
      </c>
      <c r="H12" s="40" t="s">
        <v>54</v>
      </c>
      <c r="I12" s="41" t="s">
        <v>46</v>
      </c>
      <c r="J12" s="40" t="s">
        <v>54</v>
      </c>
      <c r="K12" s="41" t="s">
        <v>46</v>
      </c>
      <c r="L12" s="50" t="s">
        <v>46</v>
      </c>
      <c r="M12" s="28" t="s">
        <v>54</v>
      </c>
      <c r="N12" s="28" t="s">
        <v>46</v>
      </c>
      <c r="O12" s="29" t="s">
        <v>71</v>
      </c>
    </row>
    <row r="13" spans="1:20" x14ac:dyDescent="0.2">
      <c r="A13" s="2" t="s">
        <v>47</v>
      </c>
      <c r="B13" s="2" t="s">
        <v>49</v>
      </c>
      <c r="C13" s="2">
        <v>4</v>
      </c>
      <c r="D13" s="34">
        <v>324</v>
      </c>
      <c r="E13" s="48">
        <f>(D13/1000000)*M2</f>
        <v>1.6200000000000001E-5</v>
      </c>
      <c r="F13" s="34"/>
      <c r="G13" s="44"/>
      <c r="H13" s="34">
        <v>250</v>
      </c>
      <c r="I13" s="46">
        <f>(H13/1000000)*M4</f>
        <v>3.1250000000000001E-4</v>
      </c>
      <c r="J13" s="34"/>
      <c r="K13" s="92"/>
      <c r="L13" s="54"/>
      <c r="M13" s="35">
        <f>SUM(D13,F13,H13,J13)</f>
        <v>574</v>
      </c>
      <c r="N13" s="36">
        <f>SUM(E13,G13,I13,K13,L13)</f>
        <v>3.2870000000000002E-4</v>
      </c>
      <c r="O13" s="37">
        <f>(N13-E4)/E4</f>
        <v>-0.18839506172839496</v>
      </c>
    </row>
    <row r="14" spans="1:20" x14ac:dyDescent="0.2">
      <c r="A14" s="2"/>
      <c r="B14" s="2"/>
      <c r="C14" s="2"/>
      <c r="D14" s="20">
        <v>324</v>
      </c>
      <c r="E14" s="48">
        <f>(D14/1000000)*M2</f>
        <v>1.6200000000000001E-5</v>
      </c>
      <c r="F14" s="20"/>
      <c r="G14" s="47"/>
      <c r="H14" s="20"/>
      <c r="I14" s="42"/>
      <c r="J14" s="20">
        <v>250</v>
      </c>
      <c r="K14" s="42">
        <v>5.0000000000000001E-4</v>
      </c>
      <c r="L14" s="52"/>
      <c r="M14" s="12">
        <f t="shared" ref="M14:M24" si="0">SUM(D14,F14,H14,J14)</f>
        <v>574</v>
      </c>
      <c r="N14" s="14">
        <f t="shared" ref="N14" si="1">SUM(E14,G14,I14,K14,L14)</f>
        <v>5.1619999999999997E-4</v>
      </c>
      <c r="O14" s="21">
        <f>(N14-E4)/E4</f>
        <v>0.27456790123456792</v>
      </c>
    </row>
    <row r="15" spans="1:20" x14ac:dyDescent="0.2">
      <c r="A15" s="2"/>
      <c r="B15" s="2"/>
      <c r="C15" s="2"/>
      <c r="D15" s="30">
        <v>324</v>
      </c>
      <c r="E15" s="48">
        <f>(D15/1000000)*M2</f>
        <v>1.6200000000000001E-5</v>
      </c>
      <c r="F15" s="30">
        <v>250</v>
      </c>
      <c r="G15" s="43">
        <v>2.5000000000000001E-5</v>
      </c>
      <c r="H15" s="30"/>
      <c r="I15" s="43"/>
      <c r="J15" s="30"/>
      <c r="K15" s="43"/>
      <c r="L15" s="53"/>
      <c r="M15" s="32">
        <f t="shared" si="0"/>
        <v>574</v>
      </c>
      <c r="N15" s="31">
        <f>SUM(E15,G15,I15,K15,L15)</f>
        <v>4.1199999999999999E-5</v>
      </c>
      <c r="O15" s="33">
        <f>(N15-E4)/E4</f>
        <v>-0.89827160493827152</v>
      </c>
    </row>
    <row r="16" spans="1:20" x14ac:dyDescent="0.2">
      <c r="A16" s="2"/>
      <c r="B16" t="s">
        <v>50</v>
      </c>
      <c r="D16" s="86">
        <v>1000</v>
      </c>
      <c r="E16" s="43">
        <f>(D16/1000000)*M2</f>
        <v>5.0000000000000002E-5</v>
      </c>
      <c r="F16" s="86"/>
      <c r="G16" s="87"/>
      <c r="H16" s="86">
        <v>800</v>
      </c>
      <c r="I16" s="87">
        <v>1E-3</v>
      </c>
      <c r="J16" s="86"/>
      <c r="K16" s="87"/>
      <c r="L16" s="88"/>
      <c r="M16" s="89">
        <f>SUM(D16,F16,H16,J16)</f>
        <v>1800</v>
      </c>
      <c r="N16" s="90">
        <f>SUM(E16,G16,I16,K16,L16)</f>
        <v>1.0499999999999999E-3</v>
      </c>
      <c r="O16" s="91">
        <f>(N16-MIN(E5,G5))/MIN(E5,G5)</f>
        <v>-0.16000000000000006</v>
      </c>
    </row>
    <row r="17" spans="1:15" x14ac:dyDescent="0.2">
      <c r="A17" s="2"/>
      <c r="D17" s="20">
        <v>1000</v>
      </c>
      <c r="E17" s="43">
        <f>(D17/1000000)*M2</f>
        <v>5.0000000000000002E-5</v>
      </c>
      <c r="F17" s="20"/>
      <c r="G17" s="42"/>
      <c r="H17" s="20"/>
      <c r="I17" s="45"/>
      <c r="J17" s="20">
        <v>800</v>
      </c>
      <c r="K17" s="42">
        <v>1.6000000000000001E-3</v>
      </c>
      <c r="L17" s="52"/>
      <c r="M17" s="12">
        <f t="shared" si="0"/>
        <v>1800</v>
      </c>
      <c r="N17" s="14">
        <f t="shared" ref="N17" si="2">SUM(E17,G17,I17,K17,L17)</f>
        <v>1.65E-3</v>
      </c>
      <c r="O17" s="21">
        <f>(N17-MIN(E5,G5))/MIN(E5,G5)</f>
        <v>0.31999999999999995</v>
      </c>
    </row>
    <row r="18" spans="1:15" x14ac:dyDescent="0.2">
      <c r="A18" s="2"/>
      <c r="D18" s="79">
        <v>1000</v>
      </c>
      <c r="E18" s="43">
        <f>(D18/1000000)*M2</f>
        <v>5.0000000000000002E-5</v>
      </c>
      <c r="F18" s="79">
        <v>800</v>
      </c>
      <c r="G18" s="81">
        <v>8.0000000000000007E-5</v>
      </c>
      <c r="H18" s="79"/>
      <c r="I18" s="80"/>
      <c r="J18" s="79"/>
      <c r="K18" s="81"/>
      <c r="L18" s="82"/>
      <c r="M18" s="83">
        <f t="shared" si="0"/>
        <v>1800</v>
      </c>
      <c r="N18" s="84">
        <f>SUM(E18,G18,I18,K18,L18)</f>
        <v>1.3000000000000002E-4</v>
      </c>
      <c r="O18" s="85">
        <f>(N18-MIN(E5,G5))/MIN(E5,G5)</f>
        <v>-0.89599999999999991</v>
      </c>
    </row>
    <row r="19" spans="1:15" x14ac:dyDescent="0.2">
      <c r="A19" s="2"/>
      <c r="B19" t="s">
        <v>9</v>
      </c>
      <c r="D19" s="72">
        <v>10000</v>
      </c>
      <c r="E19" s="73">
        <f>(D19/1000000)*M2</f>
        <v>5.0000000000000001E-4</v>
      </c>
      <c r="F19" s="72"/>
      <c r="G19" s="73"/>
      <c r="H19" s="72">
        <v>8000</v>
      </c>
      <c r="I19" s="73">
        <v>0.01</v>
      </c>
      <c r="J19" s="72"/>
      <c r="K19" s="74"/>
      <c r="L19" s="75"/>
      <c r="M19" s="76">
        <f>SUM(D19,F19,H19,J19)</f>
        <v>18000</v>
      </c>
      <c r="N19" s="77">
        <f>SUM(E19,G19,I19,K19,L19)</f>
        <v>1.0500000000000001E-2</v>
      </c>
      <c r="O19" s="78">
        <f>(N19-MIN(E6,G6))/MIN(E6,G6)</f>
        <v>-0.16</v>
      </c>
    </row>
    <row r="20" spans="1:15" x14ac:dyDescent="0.2">
      <c r="A20" s="1"/>
      <c r="D20" s="20">
        <v>10000</v>
      </c>
      <c r="E20" s="73">
        <f>(D20/1000000)*M2</f>
        <v>5.0000000000000001E-4</v>
      </c>
      <c r="F20" s="20"/>
      <c r="G20" s="42"/>
      <c r="H20" s="20"/>
      <c r="I20" s="45"/>
      <c r="J20" s="20">
        <v>8000</v>
      </c>
      <c r="K20" s="42">
        <v>1.6E-2</v>
      </c>
      <c r="L20" s="52"/>
      <c r="M20" s="12">
        <f t="shared" si="0"/>
        <v>18000</v>
      </c>
      <c r="N20" s="14">
        <f t="shared" ref="N20" si="3">SUM(E20,G20,I20,K20,L20)</f>
        <v>1.6500000000000001E-2</v>
      </c>
      <c r="O20" s="15">
        <f>(N20-MIN(E6,G6))/MIN(E6,G6)</f>
        <v>0.32</v>
      </c>
    </row>
    <row r="21" spans="1:15" x14ac:dyDescent="0.2">
      <c r="A21" s="1"/>
      <c r="D21" s="93">
        <v>10000</v>
      </c>
      <c r="E21" s="73">
        <f>(D21/1000000)*M2</f>
        <v>5.0000000000000001E-4</v>
      </c>
      <c r="F21" s="93">
        <v>8000</v>
      </c>
      <c r="G21" s="94">
        <v>8.0000000000000004E-4</v>
      </c>
      <c r="H21" s="93"/>
      <c r="I21" s="95"/>
      <c r="J21" s="93"/>
      <c r="K21" s="96"/>
      <c r="L21" s="97"/>
      <c r="M21" s="98">
        <f t="shared" si="0"/>
        <v>18000</v>
      </c>
      <c r="N21" s="99">
        <f>SUM(E21,G21,I21,K21,L21)</f>
        <v>1.2999999999999999E-3</v>
      </c>
      <c r="O21" s="100">
        <f>(N21-MIN(E6,G6))/MIN(E6,G6)</f>
        <v>-0.89600000000000013</v>
      </c>
    </row>
    <row r="22" spans="1:15" x14ac:dyDescent="0.2">
      <c r="A22" s="2" t="s">
        <v>52</v>
      </c>
      <c r="B22" t="s">
        <v>49</v>
      </c>
      <c r="D22" s="34">
        <v>100000</v>
      </c>
      <c r="E22" s="48">
        <f>(D22/1000000)*M2</f>
        <v>5.000000000000001E-3</v>
      </c>
      <c r="F22" s="35"/>
      <c r="G22" s="36"/>
      <c r="H22" s="35">
        <v>80000</v>
      </c>
      <c r="I22" s="48">
        <f>(H22/1000000)*M4</f>
        <v>0.1</v>
      </c>
      <c r="J22" s="35"/>
      <c r="K22" s="35"/>
      <c r="L22" s="35"/>
      <c r="M22" s="35">
        <f>SUM(D22,F22,H22,J22)</f>
        <v>180000</v>
      </c>
      <c r="N22" s="36">
        <f>SUM(E22,G22,I22,K22,L22)</f>
        <v>0.10500000000000001</v>
      </c>
      <c r="O22" s="37">
        <f>(N22-MIN(E7,G7))/MIN(E7,G7)</f>
        <v>-0.15999999999999992</v>
      </c>
    </row>
    <row r="23" spans="1:15" x14ac:dyDescent="0.2">
      <c r="A23" s="2"/>
      <c r="B23" t="s">
        <v>50</v>
      </c>
      <c r="D23" s="20">
        <v>100000</v>
      </c>
      <c r="E23" s="42">
        <f>(D23/1000000)*M2</f>
        <v>5.000000000000001E-3</v>
      </c>
      <c r="F23" s="12"/>
      <c r="G23" s="14"/>
      <c r="H23" s="12"/>
      <c r="I23" s="12"/>
      <c r="J23" s="12">
        <v>80000</v>
      </c>
      <c r="K23" s="42">
        <f>(J23/1000000)*M5</f>
        <v>0.16</v>
      </c>
      <c r="L23" s="12"/>
      <c r="M23" s="12">
        <f t="shared" si="0"/>
        <v>180000</v>
      </c>
      <c r="N23" s="14">
        <f t="shared" ref="N23" si="4">SUM(E23,G23,I23,K23,L23)</f>
        <v>0.16500000000000001</v>
      </c>
      <c r="O23" s="21">
        <f>(N23-E7)/E7</f>
        <v>0.32000000000000006</v>
      </c>
    </row>
    <row r="24" spans="1:15" x14ac:dyDescent="0.2">
      <c r="A24" s="2"/>
      <c r="B24" t="s">
        <v>9</v>
      </c>
      <c r="D24" s="30">
        <v>100000</v>
      </c>
      <c r="E24" s="43">
        <f>(D24/1000000)*M2</f>
        <v>5.000000000000001E-3</v>
      </c>
      <c r="F24" s="32">
        <v>80000</v>
      </c>
      <c r="G24" s="43">
        <f>(F24/1000000)*M3</f>
        <v>8.0000000000000002E-3</v>
      </c>
      <c r="H24" s="32"/>
      <c r="I24" s="32"/>
      <c r="J24" s="32"/>
      <c r="K24" s="32"/>
      <c r="L24" s="32"/>
      <c r="M24" s="32">
        <f t="shared" si="0"/>
        <v>180000</v>
      </c>
      <c r="N24" s="31">
        <f>SUM(E24,G24,I24,K24,L24)</f>
        <v>1.3000000000000001E-2</v>
      </c>
      <c r="O24" s="33">
        <f>(N24-E7)/E7</f>
        <v>-0.89600000000000002</v>
      </c>
    </row>
    <row r="25" spans="1:15" x14ac:dyDescent="0.2">
      <c r="G25" s="8"/>
      <c r="K25" s="59"/>
    </row>
  </sheetData>
  <mergeCells count="14">
    <mergeCell ref="P2:P5"/>
    <mergeCell ref="O6:O7"/>
    <mergeCell ref="A13:A19"/>
    <mergeCell ref="A22:A24"/>
    <mergeCell ref="A7:A9"/>
    <mergeCell ref="A4:A6"/>
    <mergeCell ref="F11:G11"/>
    <mergeCell ref="H11:I11"/>
    <mergeCell ref="F2:G2"/>
    <mergeCell ref="D2:E2"/>
    <mergeCell ref="C13:C15"/>
    <mergeCell ref="D11:E11"/>
    <mergeCell ref="J11:K11"/>
    <mergeCell ref="B13: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cal-2</vt:lpstr>
      <vt:lpstr>actual data</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Raviranjan Ramchandra</dc:creator>
  <cp:lastModifiedBy>Prasad Raviranjan Ramchandra</cp:lastModifiedBy>
  <dcterms:created xsi:type="dcterms:W3CDTF">2025-11-19T09:06:17Z</dcterms:created>
  <dcterms:modified xsi:type="dcterms:W3CDTF">2025-11-19T21:20:31Z</dcterms:modified>
</cp:coreProperties>
</file>